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ley Jesus\Documents\CV\CV_Arley_Vera-GESTIÓN Y ANÁLISIS DE INFORMACIÓN\data-analysis-projects\sales-analysis-dashboard\data\"/>
    </mc:Choice>
  </mc:AlternateContent>
  <xr:revisionPtr revIDLastSave="0" documentId="8_{6A033517-8733-4473-8514-8050046272B0}" xr6:coauthVersionLast="47" xr6:coauthVersionMax="47" xr10:uidLastSave="{00000000-0000-0000-0000-000000000000}"/>
  <bookViews>
    <workbookView xWindow="-108" yWindow="-108" windowWidth="23256" windowHeight="12456" xr2:uid="{A45A3FC6-F000-40E9-A920-168B39E562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2" i="1"/>
  <c r="H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D42" i="1"/>
  <c r="C32" i="1"/>
  <c r="D65" i="1"/>
  <c r="C28" i="1"/>
  <c r="C25" i="1"/>
  <c r="B35" i="1"/>
  <c r="E27" i="1"/>
  <c r="D82" i="1"/>
  <c r="E56" i="1"/>
  <c r="D63" i="1"/>
  <c r="D8" i="1"/>
  <c r="E24" i="1"/>
  <c r="C27" i="1"/>
  <c r="D16" i="1"/>
  <c r="C2" i="1"/>
  <c r="D86" i="1"/>
  <c r="D57" i="1"/>
  <c r="D24" i="1"/>
  <c r="B51" i="1"/>
  <c r="E11" i="1"/>
  <c r="B16" i="1"/>
  <c r="D15" i="1"/>
  <c r="B31" i="1"/>
  <c r="B71" i="1"/>
  <c r="D61" i="1"/>
  <c r="D13" i="1"/>
  <c r="B81" i="1"/>
  <c r="E53" i="1"/>
  <c r="C19" i="1"/>
  <c r="C53" i="1"/>
  <c r="D10" i="1"/>
  <c r="B86" i="1"/>
  <c r="E80" i="1"/>
  <c r="E12" i="1"/>
  <c r="C29" i="1"/>
  <c r="D70" i="1"/>
  <c r="B29" i="1"/>
  <c r="E69" i="1"/>
  <c r="B4" i="1"/>
  <c r="B43" i="1"/>
  <c r="E58" i="1"/>
  <c r="C71" i="1"/>
  <c r="E4" i="1"/>
  <c r="B25" i="1"/>
  <c r="C22" i="1"/>
  <c r="B72" i="1"/>
  <c r="E43" i="1"/>
  <c r="D41" i="1"/>
  <c r="C77" i="1"/>
  <c r="E61" i="1"/>
  <c r="B76" i="1"/>
  <c r="B8" i="1"/>
  <c r="E7" i="1"/>
  <c r="C14" i="1"/>
  <c r="D64" i="1"/>
  <c r="D11" i="1"/>
  <c r="E35" i="1"/>
  <c r="E55" i="1"/>
  <c r="C80" i="1"/>
  <c r="D69" i="1"/>
  <c r="D53" i="1"/>
  <c r="C11" i="1"/>
  <c r="D72" i="1"/>
  <c r="B73" i="1"/>
  <c r="D56" i="1"/>
  <c r="C86" i="1"/>
  <c r="C36" i="1"/>
  <c r="D71" i="1"/>
  <c r="D52" i="1"/>
  <c r="E49" i="1"/>
  <c r="D7" i="1"/>
  <c r="C54" i="1"/>
  <c r="C81" i="1"/>
  <c r="B57" i="1"/>
  <c r="E8" i="1"/>
  <c r="D75" i="1"/>
  <c r="E37" i="1"/>
  <c r="D35" i="1"/>
  <c r="C41" i="1"/>
  <c r="E28" i="1"/>
  <c r="D44" i="1"/>
  <c r="C64" i="1"/>
  <c r="B78" i="1"/>
  <c r="B83" i="1"/>
  <c r="E60" i="1"/>
  <c r="B10" i="1"/>
  <c r="C59" i="1"/>
  <c r="C74" i="1"/>
  <c r="C47" i="1"/>
  <c r="C46" i="1"/>
  <c r="B37" i="1"/>
  <c r="E63" i="1"/>
  <c r="E76" i="1"/>
  <c r="B20" i="1"/>
  <c r="D60" i="1"/>
  <c r="C48" i="1"/>
  <c r="C34" i="1"/>
  <c r="D29" i="1"/>
  <c r="B47" i="1"/>
  <c r="D59" i="1"/>
  <c r="E72" i="1"/>
  <c r="D54" i="1"/>
  <c r="B13" i="1"/>
  <c r="D47" i="1"/>
  <c r="E30" i="1"/>
  <c r="B60" i="1"/>
  <c r="B64" i="1"/>
  <c r="D62" i="1"/>
  <c r="D36" i="1"/>
  <c r="D2" i="1"/>
  <c r="D26" i="1"/>
  <c r="E32" i="1"/>
  <c r="D28" i="1"/>
  <c r="B69" i="1"/>
  <c r="E73" i="1"/>
  <c r="D83" i="1"/>
  <c r="D31" i="1"/>
  <c r="B26" i="1"/>
  <c r="D18" i="1"/>
  <c r="D49" i="1"/>
  <c r="C57" i="1"/>
  <c r="C33" i="1"/>
  <c r="B42" i="1"/>
  <c r="C63" i="1"/>
  <c r="B36" i="1"/>
  <c r="D68" i="1"/>
  <c r="D84" i="1"/>
  <c r="B27" i="1"/>
  <c r="B45" i="1"/>
  <c r="C20" i="1"/>
  <c r="C69" i="1"/>
  <c r="B48" i="1"/>
  <c r="D55" i="1"/>
  <c r="C52" i="1"/>
  <c r="B23" i="1"/>
  <c r="E14" i="1"/>
  <c r="B62" i="1"/>
  <c r="E68" i="1"/>
  <c r="C76" i="1"/>
  <c r="E75" i="1"/>
  <c r="E13" i="1"/>
  <c r="E2" i="1"/>
  <c r="E59" i="1"/>
  <c r="B46" i="1"/>
  <c r="C45" i="1"/>
  <c r="C83" i="1"/>
  <c r="C35" i="1"/>
  <c r="E45" i="1"/>
  <c r="E46" i="1"/>
  <c r="B79" i="1"/>
  <c r="E42" i="1"/>
  <c r="D33" i="1"/>
  <c r="D76" i="1"/>
  <c r="C43" i="1"/>
  <c r="C82" i="1"/>
  <c r="D25" i="1"/>
  <c r="C78" i="1"/>
  <c r="B34" i="1"/>
  <c r="E82" i="1"/>
  <c r="C61" i="1"/>
  <c r="D17" i="1"/>
  <c r="D85" i="1"/>
  <c r="B6" i="1"/>
  <c r="E31" i="1"/>
  <c r="D9" i="1"/>
  <c r="D74" i="1"/>
  <c r="D66" i="1"/>
  <c r="E44" i="1"/>
  <c r="C26" i="1"/>
  <c r="C39" i="1"/>
  <c r="B40" i="1"/>
  <c r="B2" i="1"/>
  <c r="D48" i="1"/>
  <c r="B65" i="1"/>
  <c r="C65" i="1"/>
  <c r="C75" i="1"/>
  <c r="B44" i="1"/>
  <c r="E50" i="1"/>
  <c r="B28" i="1"/>
  <c r="D40" i="1"/>
  <c r="C38" i="1"/>
  <c r="D37" i="1"/>
  <c r="D14" i="1"/>
  <c r="D38" i="1"/>
  <c r="D78" i="1"/>
  <c r="E20" i="1"/>
  <c r="E18" i="1"/>
  <c r="E47" i="1"/>
  <c r="D46" i="1"/>
  <c r="D12" i="1"/>
  <c r="E39" i="1"/>
  <c r="E71" i="1"/>
  <c r="C40" i="1"/>
  <c r="C58" i="1"/>
  <c r="E57" i="1"/>
  <c r="B3" i="1"/>
  <c r="D79" i="1"/>
  <c r="E66" i="1"/>
  <c r="B21" i="1"/>
  <c r="E5" i="1"/>
  <c r="D30" i="1"/>
  <c r="C9" i="1"/>
  <c r="E65" i="1"/>
  <c r="D22" i="1"/>
  <c r="B9" i="1"/>
  <c r="C55" i="1"/>
  <c r="E86" i="1"/>
  <c r="D32" i="1"/>
  <c r="E23" i="1"/>
  <c r="C49" i="1"/>
  <c r="D67" i="1"/>
  <c r="C4" i="1"/>
  <c r="C68" i="1"/>
  <c r="D34" i="1"/>
  <c r="D5" i="1"/>
  <c r="C15" i="1"/>
  <c r="E41" i="1"/>
  <c r="E29" i="1"/>
  <c r="E62" i="1"/>
  <c r="E67" i="1"/>
  <c r="E21" i="1"/>
  <c r="C60" i="1"/>
  <c r="D80" i="1"/>
  <c r="D73" i="1"/>
  <c r="D58" i="1"/>
  <c r="B50" i="1"/>
  <c r="D45" i="1"/>
  <c r="D19" i="1"/>
  <c r="D3" i="1"/>
  <c r="C73" i="1"/>
  <c r="C42" i="1"/>
  <c r="C24" i="1"/>
  <c r="B74" i="1"/>
  <c r="B61" i="1"/>
  <c r="B39" i="1"/>
  <c r="E34" i="1"/>
  <c r="E54" i="1"/>
  <c r="B11" i="1"/>
  <c r="D51" i="1"/>
  <c r="C30" i="1"/>
  <c r="B70" i="1"/>
  <c r="C84" i="1"/>
  <c r="C67" i="1"/>
  <c r="B63" i="1"/>
  <c r="C85" i="1"/>
  <c r="D27" i="1"/>
  <c r="B67" i="1"/>
  <c r="E36" i="1"/>
  <c r="E40" i="1"/>
  <c r="C51" i="1"/>
  <c r="B77" i="1"/>
  <c r="C72" i="1"/>
  <c r="E3" i="1"/>
  <c r="B52" i="1"/>
  <c r="B19" i="1"/>
  <c r="E51" i="1"/>
  <c r="B17" i="1"/>
  <c r="C12" i="1"/>
  <c r="B33" i="1"/>
  <c r="E25" i="1"/>
  <c r="B68" i="1"/>
  <c r="D81" i="1"/>
  <c r="C17" i="1"/>
  <c r="E85" i="1"/>
  <c r="E26" i="1"/>
  <c r="B14" i="1"/>
  <c r="C7" i="1"/>
  <c r="E77" i="1"/>
  <c r="C18" i="1"/>
  <c r="B84" i="1"/>
  <c r="E16" i="1"/>
  <c r="C10" i="1"/>
  <c r="E6" i="1"/>
  <c r="B18" i="1"/>
  <c r="B15" i="1"/>
  <c r="B30" i="1"/>
  <c r="D23" i="1"/>
  <c r="C79" i="1"/>
  <c r="B24" i="1"/>
  <c r="C16" i="1"/>
  <c r="B7" i="1"/>
  <c r="E33" i="1"/>
  <c r="D6" i="1"/>
  <c r="B58" i="1"/>
  <c r="B80" i="1"/>
  <c r="B55" i="1"/>
  <c r="E9" i="1"/>
  <c r="D4" i="1"/>
  <c r="B32" i="1"/>
  <c r="B53" i="1"/>
  <c r="C50" i="1"/>
  <c r="C70" i="1"/>
  <c r="D77" i="1"/>
  <c r="C37" i="1"/>
  <c r="B59" i="1"/>
  <c r="C66" i="1"/>
  <c r="D39" i="1"/>
  <c r="D20" i="1"/>
  <c r="C8" i="1"/>
  <c r="E70" i="1"/>
  <c r="E52" i="1"/>
  <c r="B22" i="1"/>
  <c r="E64" i="1"/>
  <c r="C6" i="1"/>
  <c r="C23" i="1"/>
  <c r="B49" i="1"/>
  <c r="B85" i="1"/>
  <c r="E19" i="1"/>
  <c r="B54" i="1"/>
  <c r="E38" i="1"/>
  <c r="E78" i="1"/>
  <c r="C31" i="1"/>
  <c r="D21" i="1"/>
  <c r="C5" i="1"/>
  <c r="C44" i="1"/>
  <c r="D50" i="1"/>
  <c r="E79" i="1"/>
  <c r="E22" i="1"/>
  <c r="B82" i="1"/>
  <c r="C13" i="1"/>
  <c r="D43" i="1"/>
  <c r="E17" i="1"/>
  <c r="C21" i="1"/>
  <c r="B12" i="1"/>
  <c r="E81" i="1"/>
  <c r="C62" i="1"/>
  <c r="B5" i="1"/>
  <c r="E15" i="1"/>
  <c r="B75" i="1"/>
  <c r="B56" i="1"/>
  <c r="E74" i="1"/>
  <c r="C56" i="1"/>
  <c r="B41" i="1"/>
  <c r="E48" i="1"/>
  <c r="C3" i="1"/>
  <c r="B38" i="1"/>
  <c r="B66" i="1"/>
  <c r="E10" i="1"/>
  <c r="E84" i="1"/>
  <c r="E83" i="1"/>
</calcChain>
</file>

<file path=xl/sharedStrings.xml><?xml version="1.0" encoding="utf-8"?>
<sst xmlns="http://schemas.openxmlformats.org/spreadsheetml/2006/main" count="13" uniqueCount="13">
  <si>
    <t>Ciudad</t>
  </si>
  <si>
    <t>Fecha</t>
  </si>
  <si>
    <t>Producto</t>
  </si>
  <si>
    <t>Categoria</t>
  </si>
  <si>
    <t>Canal_Venta</t>
  </si>
  <si>
    <t>Cantidad</t>
  </si>
  <si>
    <t>Precio_Unitario</t>
  </si>
  <si>
    <t>Ventas</t>
  </si>
  <si>
    <t>Columna2</t>
  </si>
  <si>
    <t>Suma</t>
  </si>
  <si>
    <t>Promedio</t>
  </si>
  <si>
    <t>Total</t>
  </si>
  <si>
    <t>Recuento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</si>
</sst>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9" formatCode="_-&quot;$&quot;* #,##0_-;\-&quot;$&quot;* #,##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9" fontId="0" fillId="0" borderId="0" xfId="1" applyNumberFormat="1" applyFont="1"/>
    <xf numFmtId="2" fontId="0" fillId="0" borderId="0" xfId="0" applyNumberFormat="1"/>
  </cellXfs>
  <cellStyles count="2">
    <cellStyle name="Moneda" xfId="1" builtinId="4"/>
    <cellStyle name="Normal" xfId="0" builtinId="0"/>
  </cellStyles>
  <dxfs count="3">
    <dxf>
      <numFmt numFmtId="169" formatCode="_-&quot;$&quot;* #,##0_-;\-&quot;$&quot;* #,##0_-;_-&quot;$&quot;* &quot;-&quot;??_-;_-@_-"/>
    </dxf>
    <dxf>
      <numFmt numFmtId="169" formatCode="_-&quot;$&quot;* #,##0_-;\-&quot;$&quot;* #,##0_-;_-&quot;$&quot;* &quot;-&quot;??_-;_-@_-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33B3A88-8516-4EF3-8878-6F261C5579D8}" name="Tabla2" displayName="Tabla2" ref="A1:H86" totalsRowShown="0">
  <autoFilter ref="A1:H86" xr:uid="{333B3A88-8516-4EF3-8878-6F261C5579D8}"/>
  <sortState xmlns:xlrd2="http://schemas.microsoft.com/office/spreadsheetml/2017/richdata2" ref="A2:H86">
    <sortCondition ref="C1:C86"/>
  </sortState>
  <tableColumns count="8">
    <tableColumn id="1" xr3:uid="{303A78E0-938F-4428-A2F5-E39CC193DA2D}" name="Fecha" dataDxfId="2"/>
    <tableColumn id="2" xr3:uid="{2D6E6E9D-B3DB-4F78-A29A-290938DEF048}" name="Ciudad">
      <calculatedColumnFormula>+PROPER(Tabla2[[#This Row],[Ciudad]])</calculatedColumnFormula>
    </tableColumn>
    <tableColumn id="3" xr3:uid="{E1D000DC-EFCE-4EBF-87B6-CEF6204B859D}" name="Producto">
      <calculatedColumnFormula>+PROPER(Tabla2[[#This Row],[Producto]])</calculatedColumnFormula>
    </tableColumn>
    <tableColumn id="4" xr3:uid="{3434D8A7-5040-44CF-84A7-9108A2205940}" name="Categoria">
      <calculatedColumnFormula>+TRIM(Tabla2[[#This Row],[Categoria]])</calculatedColumnFormula>
    </tableColumn>
    <tableColumn id="5" xr3:uid="{34B655A7-C267-4F6C-9CAE-8B762B3B16B2}" name="Canal_Venta">
      <calculatedColumnFormula>+PROPER(Tabla2[[#This Row],[Canal_Venta]])</calculatedColumnFormula>
    </tableColumn>
    <tableColumn id="6" xr3:uid="{AD299501-F909-42C2-B37E-00AFB38A05D0}" name="Cantidad"/>
    <tableColumn id="7" xr3:uid="{71FC4ECA-D7A0-4E0F-8029-8370FE4013BC}" name="Precio_Unitario" dataDxfId="1" dataCellStyle="Moneda"/>
    <tableColumn id="8" xr3:uid="{5E603C81-F7C7-4B66-94CC-D03ACBE35C2C}" name="Ventas" dataDxfId="0" dataCellStyle="Moneda">
      <calculatedColumnFormula>Tabla2[[#This Row],[Cantidad]]*Tabla2[[#This Row],[Precio_Unitario]]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C58C-7A9B-4601-9989-45FEFE86DD14}">
  <dimension ref="A1:H86"/>
  <sheetViews>
    <sheetView tabSelected="1" workbookViewId="0">
      <selection activeCell="I9" sqref="I9"/>
    </sheetView>
  </sheetViews>
  <sheetFormatPr baseColWidth="10" defaultRowHeight="14.4" x14ac:dyDescent="0.3"/>
  <cols>
    <col min="5" max="5" width="13.6640625" customWidth="1"/>
    <col min="6" max="6" width="13.21875" customWidth="1"/>
    <col min="7" max="7" width="11.5546875" style="2"/>
    <col min="8" max="8" width="15.6640625" style="2" customWidth="1"/>
  </cols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s="2" t="s">
        <v>7</v>
      </c>
    </row>
    <row r="2" spans="1:8" x14ac:dyDescent="0.3">
      <c r="A2" s="1">
        <v>45326</v>
      </c>
      <c r="B2" t="str">
        <f ca="1">+PROPER(Tabla2[[#This Row],[Ciudad]])</f>
        <v>Bogotá</v>
      </c>
      <c r="C2" t="str">
        <f ca="1">+PROPER(Tabla2[[#This Row],[Producto]])</f>
        <v xml:space="preserve"> Monitor</v>
      </c>
      <c r="D2" t="str">
        <f ca="1">+TRIM(Tabla2[[#This Row],[Categoria]])</f>
        <v>Periféricos</v>
      </c>
      <c r="E2" t="str">
        <f ca="1">+PROPER(Tabla2[[#This Row],[Canal_Venta]])</f>
        <v>Tienda</v>
      </c>
      <c r="F2">
        <v>2</v>
      </c>
      <c r="G2" s="2">
        <v>200</v>
      </c>
      <c r="H2" s="2">
        <f>Tabla2[[#This Row],[Cantidad]]*Tabla2[[#This Row],[Precio_Unitario]]</f>
        <v>400</v>
      </c>
    </row>
    <row r="3" spans="1:8" x14ac:dyDescent="0.3">
      <c r="A3" s="1">
        <v>45301</v>
      </c>
      <c r="B3" t="str">
        <f ca="1">+PROPER(Tabla2[[#This Row],[Ciudad]])</f>
        <v>Bogotá</v>
      </c>
      <c r="C3" t="str">
        <f ca="1">+PROPER(Tabla2[[#This Row],[Producto]])</f>
        <v>Laptop</v>
      </c>
      <c r="D3" t="str">
        <f ca="1">+TRIM(Tabla2[[#This Row],[Categoria]])</f>
        <v>Tecnología</v>
      </c>
      <c r="E3" t="str">
        <f ca="1">+PROPER(Tabla2[[#This Row],[Canal_Venta]])</f>
        <v>Online</v>
      </c>
      <c r="F3">
        <v>2</v>
      </c>
      <c r="G3" s="2">
        <v>1200</v>
      </c>
      <c r="H3" s="2">
        <f>Tabla2[[#This Row],[Cantidad]]*Tabla2[[#This Row],[Precio_Unitario]]</f>
        <v>2400</v>
      </c>
    </row>
    <row r="4" spans="1:8" x14ac:dyDescent="0.3">
      <c r="A4" s="1">
        <v>45330</v>
      </c>
      <c r="B4" t="str">
        <f ca="1">+PROPER(Tabla2[[#This Row],[Ciudad]])</f>
        <v>Ibagué</v>
      </c>
      <c r="C4" t="str">
        <f ca="1">+PROPER(Tabla2[[#This Row],[Producto]])</f>
        <v>Laptop</v>
      </c>
      <c r="D4" t="str">
        <f ca="1">+TRIM(Tabla2[[#This Row],[Categoria]])</f>
        <v>Tecnología</v>
      </c>
      <c r="E4" t="str">
        <f ca="1">+PROPER(Tabla2[[#This Row],[Canal_Venta]])</f>
        <v>Online</v>
      </c>
      <c r="F4">
        <v>1</v>
      </c>
      <c r="G4" s="2">
        <v>1200</v>
      </c>
      <c r="H4" s="2">
        <f>Tabla2[[#This Row],[Cantidad]]*Tabla2[[#This Row],[Precio_Unitario]]</f>
        <v>1200</v>
      </c>
    </row>
    <row r="5" spans="1:8" x14ac:dyDescent="0.3">
      <c r="A5" s="1">
        <v>45306</v>
      </c>
      <c r="B5" t="str">
        <f ca="1">+PROPER(Tabla2[[#This Row],[Ciudad]])</f>
        <v>Bogotá</v>
      </c>
      <c r="C5" t="str">
        <f ca="1">+PROPER(Tabla2[[#This Row],[Producto]])</f>
        <v>Laptop</v>
      </c>
      <c r="D5" t="str">
        <f ca="1">+TRIM(Tabla2[[#This Row],[Categoria]])</f>
        <v>Tecnología</v>
      </c>
      <c r="E5" t="str">
        <f ca="1">+PROPER(Tabla2[[#This Row],[Canal_Venta]])</f>
        <v>Distribuidor</v>
      </c>
      <c r="F5">
        <v>1</v>
      </c>
      <c r="G5" s="2">
        <v>1200</v>
      </c>
      <c r="H5" s="2">
        <f>Tabla2[[#This Row],[Cantidad]]*Tabla2[[#This Row],[Precio_Unitario]]</f>
        <v>1200</v>
      </c>
    </row>
    <row r="6" spans="1:8" x14ac:dyDescent="0.3">
      <c r="A6" s="1">
        <v>45330</v>
      </c>
      <c r="B6" t="str">
        <f ca="1">+PROPER(Tabla2[[#This Row],[Ciudad]])</f>
        <v>Ibagué</v>
      </c>
      <c r="C6" t="str">
        <f ca="1">+PROPER(Tabla2[[#This Row],[Producto]])</f>
        <v>Laptop</v>
      </c>
      <c r="D6" t="str">
        <f ca="1">+TRIM(Tabla2[[#This Row],[Categoria]])</f>
        <v>Tecnología</v>
      </c>
      <c r="E6" t="str">
        <f ca="1">+PROPER(Tabla2[[#This Row],[Canal_Venta]])</f>
        <v>Online</v>
      </c>
      <c r="F6">
        <v>1</v>
      </c>
      <c r="G6" s="2">
        <v>1200</v>
      </c>
      <c r="H6" s="2">
        <f>Tabla2[[#This Row],[Cantidad]]*Tabla2[[#This Row],[Precio_Unitario]]</f>
        <v>1200</v>
      </c>
    </row>
    <row r="7" spans="1:8" x14ac:dyDescent="0.3">
      <c r="A7" s="1">
        <v>45312</v>
      </c>
      <c r="B7" t="str">
        <f ca="1">+PROPER(Tabla2[[#This Row],[Ciudad]])</f>
        <v>Medellín</v>
      </c>
      <c r="C7" t="str">
        <f ca="1">+PROPER(Tabla2[[#This Row],[Producto]])</f>
        <v>Laptop</v>
      </c>
      <c r="D7" t="str">
        <f ca="1">+TRIM(Tabla2[[#This Row],[Categoria]])</f>
        <v>Tecnología</v>
      </c>
      <c r="E7" t="str">
        <f ca="1">+PROPER(Tabla2[[#This Row],[Canal_Venta]])</f>
        <v>Tienda</v>
      </c>
      <c r="F7">
        <v>1</v>
      </c>
      <c r="G7" s="2">
        <v>1200</v>
      </c>
      <c r="H7" s="2">
        <f>Tabla2[[#This Row],[Cantidad]]*Tabla2[[#This Row],[Precio_Unitario]]</f>
        <v>1200</v>
      </c>
    </row>
    <row r="8" spans="1:8" x14ac:dyDescent="0.3">
      <c r="A8" s="1">
        <v>45318</v>
      </c>
      <c r="B8" t="str">
        <f ca="1">+PROPER(Tabla2[[#This Row],[Ciudad]])</f>
        <v>Cali</v>
      </c>
      <c r="C8" t="str">
        <f ca="1">+PROPER(Tabla2[[#This Row],[Producto]])</f>
        <v>Laptop</v>
      </c>
      <c r="D8" t="str">
        <f ca="1">+TRIM(Tabla2[[#This Row],[Categoria]])</f>
        <v>Tecnología</v>
      </c>
      <c r="E8" t="str">
        <f ca="1">+PROPER(Tabla2[[#This Row],[Canal_Venta]])</f>
        <v>Tienda</v>
      </c>
      <c r="F8">
        <v>1</v>
      </c>
      <c r="G8" s="2">
        <v>1200</v>
      </c>
      <c r="H8" s="2">
        <f>Tabla2[[#This Row],[Cantidad]]*Tabla2[[#This Row],[Precio_Unitario]]</f>
        <v>1200</v>
      </c>
    </row>
    <row r="9" spans="1:8" x14ac:dyDescent="0.3">
      <c r="A9" s="1">
        <v>45324</v>
      </c>
      <c r="B9" t="str">
        <f ca="1">+PROPER(Tabla2[[#This Row],[Ciudad]])</f>
        <v>Barranquilla</v>
      </c>
      <c r="C9" t="str">
        <f ca="1">+PROPER(Tabla2[[#This Row],[Producto]])</f>
        <v>Laptop</v>
      </c>
      <c r="D9" t="str">
        <f ca="1">+TRIM(Tabla2[[#This Row],[Categoria]])</f>
        <v>Tecnología</v>
      </c>
      <c r="E9" t="str">
        <f ca="1">+PROPER(Tabla2[[#This Row],[Canal_Venta]])</f>
        <v>Distribuidor</v>
      </c>
      <c r="F9">
        <v>1</v>
      </c>
      <c r="G9" s="2">
        <v>1200</v>
      </c>
      <c r="H9" s="2">
        <f>Tabla2[[#This Row],[Cantidad]]*Tabla2[[#This Row],[Precio_Unitario]]</f>
        <v>1200</v>
      </c>
    </row>
    <row r="10" spans="1:8" x14ac:dyDescent="0.3">
      <c r="A10" s="1">
        <v>45336</v>
      </c>
      <c r="B10" t="str">
        <f ca="1">+PROPER(Tabla2[[#This Row],[Ciudad]])</f>
        <v>Bogotá</v>
      </c>
      <c r="C10" t="str">
        <f ca="1">+PROPER(Tabla2[[#This Row],[Producto]])</f>
        <v>Laptop</v>
      </c>
      <c r="D10" t="str">
        <f ca="1">+TRIM(Tabla2[[#This Row],[Categoria]])</f>
        <v>Tecnología</v>
      </c>
      <c r="E10" t="str">
        <f ca="1">+PROPER(Tabla2[[#This Row],[Canal_Venta]])</f>
        <v>Tienda</v>
      </c>
      <c r="F10">
        <v>2</v>
      </c>
      <c r="G10" s="2">
        <v>1200</v>
      </c>
      <c r="H10" s="2">
        <f>Tabla2[[#This Row],[Cantidad]]*Tabla2[[#This Row],[Precio_Unitario]]</f>
        <v>2400</v>
      </c>
    </row>
    <row r="11" spans="1:8" x14ac:dyDescent="0.3">
      <c r="A11" s="1">
        <v>45342</v>
      </c>
      <c r="B11" t="str">
        <f ca="1">+PROPER(Tabla2[[#This Row],[Ciudad]])</f>
        <v>Medellín</v>
      </c>
      <c r="C11" t="str">
        <f ca="1">+PROPER(Tabla2[[#This Row],[Producto]])</f>
        <v>Laptop</v>
      </c>
      <c r="D11" t="str">
        <f ca="1">+TRIM(Tabla2[[#This Row],[Categoria]])</f>
        <v>Tecnología</v>
      </c>
      <c r="E11" t="str">
        <f ca="1">+PROPER(Tabla2[[#This Row],[Canal_Venta]])</f>
        <v>Online</v>
      </c>
      <c r="F11">
        <v>1</v>
      </c>
      <c r="G11" s="2">
        <v>1200</v>
      </c>
      <c r="H11" s="2">
        <f>Tabla2[[#This Row],[Cantidad]]*Tabla2[[#This Row],[Precio_Unitario]]</f>
        <v>1200</v>
      </c>
    </row>
    <row r="12" spans="1:8" x14ac:dyDescent="0.3">
      <c r="A12" s="1">
        <v>45348</v>
      </c>
      <c r="B12" t="str">
        <f ca="1">+PROPER(Tabla2[[#This Row],[Ciudad]])</f>
        <v>Cali</v>
      </c>
      <c r="C12" t="str">
        <f ca="1">+PROPER(Tabla2[[#This Row],[Producto]])</f>
        <v>Laptop</v>
      </c>
      <c r="D12" t="str">
        <f ca="1">+TRIM(Tabla2[[#This Row],[Categoria]])</f>
        <v>Tecnología</v>
      </c>
      <c r="E12" t="str">
        <f ca="1">+PROPER(Tabla2[[#This Row],[Canal_Venta]])</f>
        <v>Distribuidor</v>
      </c>
      <c r="F12">
        <v>1</v>
      </c>
      <c r="G12" s="2">
        <v>1200</v>
      </c>
      <c r="H12" s="2">
        <f>Tabla2[[#This Row],[Cantidad]]*Tabla2[[#This Row],[Precio_Unitario]]</f>
        <v>1200</v>
      </c>
    </row>
    <row r="13" spans="1:8" x14ac:dyDescent="0.3">
      <c r="A13" s="1">
        <v>45301</v>
      </c>
      <c r="B13" t="str">
        <f ca="1">+PROPER(Tabla2[[#This Row],[Ciudad]])</f>
        <v>Bogotá</v>
      </c>
      <c r="C13" t="str">
        <f ca="1">+PROPER(Tabla2[[#This Row],[Producto]])</f>
        <v>Laptop</v>
      </c>
      <c r="D13" t="str">
        <f ca="1">+TRIM(Tabla2[[#This Row],[Categoria]])</f>
        <v>Tecnología</v>
      </c>
      <c r="E13" t="str">
        <f ca="1">+PROPER(Tabla2[[#This Row],[Canal_Venta]])</f>
        <v>Online</v>
      </c>
      <c r="F13">
        <v>2</v>
      </c>
      <c r="G13" s="2">
        <v>1200</v>
      </c>
      <c r="H13" s="2">
        <f>Tabla2[[#This Row],[Cantidad]]*Tabla2[[#This Row],[Precio_Unitario]]</f>
        <v>2400</v>
      </c>
    </row>
    <row r="14" spans="1:8" x14ac:dyDescent="0.3">
      <c r="A14" s="1">
        <v>45306</v>
      </c>
      <c r="B14" t="str">
        <f ca="1">+PROPER(Tabla2[[#This Row],[Ciudad]])</f>
        <v>Bogotá</v>
      </c>
      <c r="C14" t="str">
        <f ca="1">+PROPER(Tabla2[[#This Row],[Producto]])</f>
        <v>Laptop</v>
      </c>
      <c r="D14" t="str">
        <f ca="1">+TRIM(Tabla2[[#This Row],[Categoria]])</f>
        <v>Tecnología</v>
      </c>
      <c r="E14" t="str">
        <f ca="1">+PROPER(Tabla2[[#This Row],[Canal_Venta]])</f>
        <v>Distribuidor</v>
      </c>
      <c r="F14">
        <v>1</v>
      </c>
      <c r="G14" s="2">
        <v>1200</v>
      </c>
      <c r="H14" s="2">
        <f>Tabla2[[#This Row],[Cantidad]]*Tabla2[[#This Row],[Precio_Unitario]]</f>
        <v>1200</v>
      </c>
    </row>
    <row r="15" spans="1:8" x14ac:dyDescent="0.3">
      <c r="A15" s="1">
        <v>45312</v>
      </c>
      <c r="B15" t="str">
        <f ca="1">+PROPER(Tabla2[[#This Row],[Ciudad]])</f>
        <v>Medellín</v>
      </c>
      <c r="C15" t="str">
        <f ca="1">+PROPER(Tabla2[[#This Row],[Producto]])</f>
        <v>Laptop</v>
      </c>
      <c r="D15" t="str">
        <f ca="1">+TRIM(Tabla2[[#This Row],[Categoria]])</f>
        <v>Tecnología</v>
      </c>
      <c r="E15" t="str">
        <f ca="1">+PROPER(Tabla2[[#This Row],[Canal_Venta]])</f>
        <v>Tienda</v>
      </c>
      <c r="F15">
        <v>1</v>
      </c>
      <c r="G15" s="2">
        <v>1200</v>
      </c>
      <c r="H15" s="2">
        <f>Tabla2[[#This Row],[Cantidad]]*Tabla2[[#This Row],[Precio_Unitario]]</f>
        <v>1200</v>
      </c>
    </row>
    <row r="16" spans="1:8" x14ac:dyDescent="0.3">
      <c r="A16" s="1">
        <v>45336</v>
      </c>
      <c r="B16" t="str">
        <f ca="1">+PROPER(Tabla2[[#This Row],[Ciudad]])</f>
        <v>Bogotá</v>
      </c>
      <c r="C16" t="str">
        <f ca="1">+PROPER(Tabla2[[#This Row],[Producto]])</f>
        <v>Laptop</v>
      </c>
      <c r="D16" t="str">
        <f ca="1">+TRIM(Tabla2[[#This Row],[Categoria]])</f>
        <v>Tecnología</v>
      </c>
      <c r="E16" t="str">
        <f ca="1">+PROPER(Tabla2[[#This Row],[Canal_Venta]])</f>
        <v>Tienda</v>
      </c>
      <c r="F16">
        <v>2</v>
      </c>
      <c r="G16" s="2">
        <v>1200</v>
      </c>
      <c r="H16" s="2">
        <f>Tabla2[[#This Row],[Cantidad]]*Tabla2[[#This Row],[Precio_Unitario]]</f>
        <v>2400</v>
      </c>
    </row>
    <row r="17" spans="1:8" x14ac:dyDescent="0.3">
      <c r="A17" s="1">
        <v>45303</v>
      </c>
      <c r="B17" t="str">
        <f ca="1">+PROPER(Tabla2[[#This Row],[Ciudad]])</f>
        <v>Cali</v>
      </c>
      <c r="C17" t="str">
        <f ca="1">+PROPER(Tabla2[[#This Row],[Producto]])</f>
        <v>Monitor</v>
      </c>
      <c r="D17" t="str">
        <f ca="1">+TRIM(Tabla2[[#This Row],[Categoria]])</f>
        <v>Periféricos</v>
      </c>
      <c r="E17" t="str">
        <f ca="1">+PROPER(Tabla2[[#This Row],[Canal_Venta]])</f>
        <v>Distribuidor</v>
      </c>
      <c r="F17">
        <v>3</v>
      </c>
      <c r="G17" s="2">
        <v>200</v>
      </c>
      <c r="H17" s="2">
        <f>Tabla2[[#This Row],[Cantidad]]*Tabla2[[#This Row],[Precio_Unitario]]</f>
        <v>600</v>
      </c>
    </row>
    <row r="18" spans="1:8" x14ac:dyDescent="0.3">
      <c r="A18" s="1">
        <v>45308</v>
      </c>
      <c r="B18" t="str">
        <f ca="1">+PROPER(Tabla2[[#This Row],[Ciudad]])</f>
        <v>Cali</v>
      </c>
      <c r="C18" t="str">
        <f ca="1">+PROPER(Tabla2[[#This Row],[Producto]])</f>
        <v>Monitor</v>
      </c>
      <c r="D18" t="str">
        <f ca="1">+TRIM(Tabla2[[#This Row],[Categoria]])</f>
        <v>Perifericos</v>
      </c>
      <c r="E18" t="str">
        <f ca="1">+PROPER(Tabla2[[#This Row],[Canal_Venta]])</f>
        <v>Tienda</v>
      </c>
      <c r="F18">
        <v>2</v>
      </c>
      <c r="G18" s="2">
        <v>200</v>
      </c>
      <c r="H18" s="2">
        <f>Tabla2[[#This Row],[Cantidad]]*Tabla2[[#This Row],[Precio_Unitario]]</f>
        <v>400</v>
      </c>
    </row>
    <row r="19" spans="1:8" x14ac:dyDescent="0.3">
      <c r="A19" s="1">
        <v>45314</v>
      </c>
      <c r="B19" t="str">
        <f ca="1">+PROPER(Tabla2[[#This Row],[Ciudad]])</f>
        <v>Barranquilla</v>
      </c>
      <c r="C19" t="str">
        <f ca="1">+PROPER(Tabla2[[#This Row],[Producto]])</f>
        <v>Monitor</v>
      </c>
      <c r="D19" t="str">
        <f ca="1">+TRIM(Tabla2[[#This Row],[Categoria]])</f>
        <v>Periféricos</v>
      </c>
      <c r="E19" t="str">
        <f ca="1">+PROPER(Tabla2[[#This Row],[Canal_Venta]])</f>
        <v>Online</v>
      </c>
      <c r="F19">
        <v>2</v>
      </c>
      <c r="G19" s="2">
        <v>200</v>
      </c>
      <c r="H19" s="2">
        <f>Tabla2[[#This Row],[Cantidad]]*Tabla2[[#This Row],[Precio_Unitario]]</f>
        <v>400</v>
      </c>
    </row>
    <row r="20" spans="1:8" x14ac:dyDescent="0.3">
      <c r="A20" s="1">
        <v>45320</v>
      </c>
      <c r="B20" t="str">
        <f ca="1">+PROPER(Tabla2[[#This Row],[Ciudad]])</f>
        <v>Ibagué</v>
      </c>
      <c r="C20" t="str">
        <f ca="1">+PROPER(Tabla2[[#This Row],[Producto]])</f>
        <v>Monitor</v>
      </c>
      <c r="D20" t="str">
        <f ca="1">+TRIM(Tabla2[[#This Row],[Categoria]])</f>
        <v>Periféricos</v>
      </c>
      <c r="E20" t="str">
        <f ca="1">+PROPER(Tabla2[[#This Row],[Canal_Venta]])</f>
        <v>Tienda</v>
      </c>
      <c r="F20">
        <v>2</v>
      </c>
      <c r="G20" s="2">
        <v>200</v>
      </c>
      <c r="H20" s="2">
        <f>Tabla2[[#This Row],[Cantidad]]*Tabla2[[#This Row],[Precio_Unitario]]</f>
        <v>400</v>
      </c>
    </row>
    <row r="21" spans="1:8" x14ac:dyDescent="0.3">
      <c r="A21" s="1">
        <v>45326</v>
      </c>
      <c r="B21" t="str">
        <f ca="1">+PROPER(Tabla2[[#This Row],[Ciudad]])</f>
        <v>Bogotá</v>
      </c>
      <c r="C21" t="str">
        <f ca="1">+PROPER(Tabla2[[#This Row],[Producto]])</f>
        <v>Monitor</v>
      </c>
      <c r="D21" t="str">
        <f ca="1">+TRIM(Tabla2[[#This Row],[Categoria]])</f>
        <v>Periféricos</v>
      </c>
      <c r="E21" t="str">
        <f ca="1">+PROPER(Tabla2[[#This Row],[Canal_Venta]])</f>
        <v>Tienda</v>
      </c>
      <c r="F21">
        <v>2</v>
      </c>
      <c r="G21" s="2">
        <v>200</v>
      </c>
      <c r="H21" s="2">
        <f>Tabla2[[#This Row],[Cantidad]]*Tabla2[[#This Row],[Precio_Unitario]]</f>
        <v>400</v>
      </c>
    </row>
    <row r="22" spans="1:8" x14ac:dyDescent="0.3">
      <c r="A22" s="1">
        <v>45332</v>
      </c>
      <c r="B22" t="str">
        <f ca="1">+PROPER(Tabla2[[#This Row],[Ciudad]])</f>
        <v>Medellín</v>
      </c>
      <c r="C22" t="str">
        <f ca="1">+PROPER(Tabla2[[#This Row],[Producto]])</f>
        <v>Monitor</v>
      </c>
      <c r="D22" t="str">
        <f ca="1">+TRIM(Tabla2[[#This Row],[Categoria]])</f>
        <v>Periféricos</v>
      </c>
      <c r="E22" t="str">
        <f ca="1">+PROPER(Tabla2[[#This Row],[Canal_Venta]])</f>
        <v>Tienda</v>
      </c>
      <c r="F22">
        <v>3</v>
      </c>
      <c r="G22" s="2">
        <v>200</v>
      </c>
      <c r="H22" s="2">
        <f>Tabla2[[#This Row],[Cantidad]]*Tabla2[[#This Row],[Precio_Unitario]]</f>
        <v>600</v>
      </c>
    </row>
    <row r="23" spans="1:8" x14ac:dyDescent="0.3">
      <c r="A23" s="1">
        <v>45338</v>
      </c>
      <c r="B23" t="str">
        <f ca="1">+PROPER(Tabla2[[#This Row],[Ciudad]])</f>
        <v>Cali</v>
      </c>
      <c r="C23" t="str">
        <f ca="1">+PROPER(Tabla2[[#This Row],[Producto]])</f>
        <v>Monitor</v>
      </c>
      <c r="D23" t="str">
        <f ca="1">+TRIM(Tabla2[[#This Row],[Categoria]])</f>
        <v>Periféricos</v>
      </c>
      <c r="E23" t="str">
        <f ca="1">+PROPER(Tabla2[[#This Row],[Canal_Venta]])</f>
        <v>Distribuidor</v>
      </c>
      <c r="F23">
        <v>2</v>
      </c>
      <c r="G23" s="2">
        <v>200</v>
      </c>
      <c r="H23" s="2">
        <f>Tabla2[[#This Row],[Cantidad]]*Tabla2[[#This Row],[Precio_Unitario]]</f>
        <v>400</v>
      </c>
    </row>
    <row r="24" spans="1:8" x14ac:dyDescent="0.3">
      <c r="A24" s="1">
        <v>45344</v>
      </c>
      <c r="B24" t="str">
        <f ca="1">+PROPER(Tabla2[[#This Row],[Ciudad]])</f>
        <v>Barranquilla</v>
      </c>
      <c r="C24" t="str">
        <f ca="1">+PROPER(Tabla2[[#This Row],[Producto]])</f>
        <v>Monitor</v>
      </c>
      <c r="D24" t="str">
        <f ca="1">+TRIM(Tabla2[[#This Row],[Categoria]])</f>
        <v>Periféricos</v>
      </c>
      <c r="E24" t="str">
        <f ca="1">+PROPER(Tabla2[[#This Row],[Canal_Venta]])</f>
        <v>Online</v>
      </c>
      <c r="F24">
        <v>2</v>
      </c>
      <c r="G24" s="2">
        <v>200</v>
      </c>
      <c r="H24" s="2">
        <f>Tabla2[[#This Row],[Cantidad]]*Tabla2[[#This Row],[Precio_Unitario]]</f>
        <v>400</v>
      </c>
    </row>
    <row r="25" spans="1:8" x14ac:dyDescent="0.3">
      <c r="A25" s="1">
        <v>45303</v>
      </c>
      <c r="B25" t="str">
        <f ca="1">+PROPER(Tabla2[[#This Row],[Ciudad]])</f>
        <v>Cali</v>
      </c>
      <c r="C25" t="str">
        <f ca="1">+PROPER(Tabla2[[#This Row],[Producto]])</f>
        <v>Monitor</v>
      </c>
      <c r="D25" t="str">
        <f ca="1">+TRIM(Tabla2[[#This Row],[Categoria]])</f>
        <v>Periféricos</v>
      </c>
      <c r="E25" t="str">
        <f ca="1">+PROPER(Tabla2[[#This Row],[Canal_Venta]])</f>
        <v>Distribuidor</v>
      </c>
      <c r="F25">
        <v>3</v>
      </c>
      <c r="G25" s="2">
        <v>200</v>
      </c>
      <c r="H25" s="2">
        <f>Tabla2[[#This Row],[Cantidad]]*Tabla2[[#This Row],[Precio_Unitario]]</f>
        <v>600</v>
      </c>
    </row>
    <row r="26" spans="1:8" x14ac:dyDescent="0.3">
      <c r="A26" s="1">
        <v>45308</v>
      </c>
      <c r="B26" t="str">
        <f ca="1">+PROPER(Tabla2[[#This Row],[Ciudad]])</f>
        <v>Cali</v>
      </c>
      <c r="C26" t="str">
        <f ca="1">+PROPER(Tabla2[[#This Row],[Producto]])</f>
        <v>Monitor</v>
      </c>
      <c r="D26" t="str">
        <f ca="1">+TRIM(Tabla2[[#This Row],[Categoria]])</f>
        <v>Perifericos</v>
      </c>
      <c r="E26" t="str">
        <f ca="1">+PROPER(Tabla2[[#This Row],[Canal_Venta]])</f>
        <v>Tienda</v>
      </c>
      <c r="F26">
        <v>2</v>
      </c>
      <c r="G26" s="2">
        <v>200</v>
      </c>
      <c r="H26" s="2">
        <f>Tabla2[[#This Row],[Cantidad]]*Tabla2[[#This Row],[Precio_Unitario]]</f>
        <v>400</v>
      </c>
    </row>
    <row r="27" spans="1:8" x14ac:dyDescent="0.3">
      <c r="A27" s="1">
        <v>45314</v>
      </c>
      <c r="B27" t="str">
        <f ca="1">+PROPER(Tabla2[[#This Row],[Ciudad]])</f>
        <v>Barranquilla</v>
      </c>
      <c r="C27" t="str">
        <f ca="1">+PROPER(Tabla2[[#This Row],[Producto]])</f>
        <v>Monitor</v>
      </c>
      <c r="D27" t="str">
        <f ca="1">+TRIM(Tabla2[[#This Row],[Categoria]])</f>
        <v>Periféricos</v>
      </c>
      <c r="E27" t="str">
        <f ca="1">+PROPER(Tabla2[[#This Row],[Canal_Venta]])</f>
        <v>Online</v>
      </c>
      <c r="F27">
        <v>2</v>
      </c>
      <c r="G27" s="2">
        <v>200</v>
      </c>
      <c r="H27" s="2">
        <f>Tabla2[[#This Row],[Cantidad]]*Tabla2[[#This Row],[Precio_Unitario]]</f>
        <v>400</v>
      </c>
    </row>
    <row r="28" spans="1:8" x14ac:dyDescent="0.3">
      <c r="A28" s="1">
        <v>45338</v>
      </c>
      <c r="B28" t="str">
        <f ca="1">+PROPER(Tabla2[[#This Row],[Ciudad]])</f>
        <v>Cali</v>
      </c>
      <c r="C28" t="str">
        <f ca="1">+PROPER(Tabla2[[#This Row],[Producto]])</f>
        <v>Monitor</v>
      </c>
      <c r="D28" t="str">
        <f ca="1">+TRIM(Tabla2[[#This Row],[Categoria]])</f>
        <v>Periféricos</v>
      </c>
      <c r="E28" t="str">
        <f ca="1">+PROPER(Tabla2[[#This Row],[Canal_Venta]])</f>
        <v>Distribuidor</v>
      </c>
      <c r="F28">
        <v>2</v>
      </c>
      <c r="G28" s="2">
        <v>200</v>
      </c>
      <c r="H28" s="2">
        <f>Tabla2[[#This Row],[Cantidad]]*Tabla2[[#This Row],[Precio_Unitario]]</f>
        <v>400</v>
      </c>
    </row>
    <row r="29" spans="1:8" x14ac:dyDescent="0.3">
      <c r="A29" s="1">
        <v>45344</v>
      </c>
      <c r="B29" t="str">
        <f ca="1">+PROPER(Tabla2[[#This Row],[Ciudad]])</f>
        <v>Barranquilla</v>
      </c>
      <c r="C29" t="str">
        <f ca="1">+PROPER(Tabla2[[#This Row],[Producto]])</f>
        <v>Monitor</v>
      </c>
      <c r="D29" t="str">
        <f ca="1">+TRIM(Tabla2[[#This Row],[Categoria]])</f>
        <v>Periféricos</v>
      </c>
      <c r="E29" t="str">
        <f ca="1">+PROPER(Tabla2[[#This Row],[Canal_Venta]])</f>
        <v>Online</v>
      </c>
      <c r="F29">
        <v>2</v>
      </c>
      <c r="G29" s="2">
        <v>200</v>
      </c>
      <c r="H29" s="2">
        <f>Tabla2[[#This Row],[Cantidad]]*Tabla2[[#This Row],[Precio_Unitario]]</f>
        <v>400</v>
      </c>
    </row>
    <row r="30" spans="1:8" x14ac:dyDescent="0.3">
      <c r="A30" s="1">
        <v>45302</v>
      </c>
      <c r="B30" t="str">
        <f ca="1">+PROPER(Tabla2[[#This Row],[Ciudad]])</f>
        <v>Medellín</v>
      </c>
      <c r="C30" t="str">
        <f ca="1">+PROPER(Tabla2[[#This Row],[Producto]])</f>
        <v>Mouse</v>
      </c>
      <c r="D30" t="str">
        <f ca="1">+TRIM(Tabla2[[#This Row],[Categoria]])</f>
        <v>Accesorios</v>
      </c>
      <c r="E30" t="str">
        <f ca="1">+PROPER(Tabla2[[#This Row],[Canal_Venta]])</f>
        <v>Tienda</v>
      </c>
      <c r="F30">
        <v>5</v>
      </c>
      <c r="G30" s="2">
        <v>25</v>
      </c>
      <c r="H30" s="2">
        <f>Tabla2[[#This Row],[Cantidad]]*Tabla2[[#This Row],[Precio_Unitario]]</f>
        <v>125</v>
      </c>
    </row>
    <row r="31" spans="1:8" x14ac:dyDescent="0.3">
      <c r="A31" s="1">
        <v>45307</v>
      </c>
      <c r="B31" t="str">
        <f ca="1">+PROPER(Tabla2[[#This Row],[Ciudad]])</f>
        <v>Medellín</v>
      </c>
      <c r="C31" t="str">
        <f ca="1">+PROPER(Tabla2[[#This Row],[Producto]])</f>
        <v>Mouse</v>
      </c>
      <c r="D31" t="str">
        <f ca="1">+TRIM(Tabla2[[#This Row],[Categoria]])</f>
        <v>Accesorios</v>
      </c>
      <c r="E31" t="str">
        <f ca="1">+PROPER(Tabla2[[#This Row],[Canal_Venta]])</f>
        <v>Online</v>
      </c>
      <c r="F31">
        <v>7</v>
      </c>
      <c r="G31" s="2">
        <v>25</v>
      </c>
      <c r="H31" s="2">
        <f>Tabla2[[#This Row],[Cantidad]]*Tabla2[[#This Row],[Precio_Unitario]]</f>
        <v>175</v>
      </c>
    </row>
    <row r="32" spans="1:8" x14ac:dyDescent="0.3">
      <c r="A32" s="1">
        <v>45313</v>
      </c>
      <c r="B32" t="str">
        <f ca="1">+PROPER(Tabla2[[#This Row],[Ciudad]])</f>
        <v>Cali</v>
      </c>
      <c r="C32" t="str">
        <f ca="1">+PROPER(Tabla2[[#This Row],[Producto]])</f>
        <v>Mouse</v>
      </c>
      <c r="D32" t="str">
        <f ca="1">+TRIM(Tabla2[[#This Row],[Categoria]])</f>
        <v>Accesorios</v>
      </c>
      <c r="E32" t="str">
        <f ca="1">+PROPER(Tabla2[[#This Row],[Canal_Venta]])</f>
        <v>Distribuidor</v>
      </c>
      <c r="F32">
        <v>6</v>
      </c>
      <c r="G32" s="2">
        <v>25</v>
      </c>
      <c r="H32" s="2">
        <f>Tabla2[[#This Row],[Cantidad]]*Tabla2[[#This Row],[Precio_Unitario]]</f>
        <v>150</v>
      </c>
    </row>
    <row r="33" spans="1:8" x14ac:dyDescent="0.3">
      <c r="A33" s="1">
        <v>45319</v>
      </c>
      <c r="B33" t="str">
        <f ca="1">+PROPER(Tabla2[[#This Row],[Ciudad]])</f>
        <v>Barranquilla</v>
      </c>
      <c r="C33" t="str">
        <f ca="1">+PROPER(Tabla2[[#This Row],[Producto]])</f>
        <v>Mouse</v>
      </c>
      <c r="D33" t="str">
        <f ca="1">+TRIM(Tabla2[[#This Row],[Categoria]])</f>
        <v>Accesorios</v>
      </c>
      <c r="E33" t="str">
        <f ca="1">+PROPER(Tabla2[[#This Row],[Canal_Venta]])</f>
        <v>Online</v>
      </c>
      <c r="F33">
        <v>8</v>
      </c>
      <c r="G33" s="2">
        <v>25</v>
      </c>
      <c r="H33" s="2">
        <f>Tabla2[[#This Row],[Cantidad]]*Tabla2[[#This Row],[Precio_Unitario]]</f>
        <v>200</v>
      </c>
    </row>
    <row r="34" spans="1:8" x14ac:dyDescent="0.3">
      <c r="A34" s="1">
        <v>45325</v>
      </c>
      <c r="B34" t="str">
        <f ca="1">+PROPER(Tabla2[[#This Row],[Ciudad]])</f>
        <v>Ibagué</v>
      </c>
      <c r="C34" t="str">
        <f ca="1">+PROPER(Tabla2[[#This Row],[Producto]])</f>
        <v>Mouse</v>
      </c>
      <c r="D34" t="str">
        <f ca="1">+TRIM(Tabla2[[#This Row],[Categoria]])</f>
        <v>Accesorios</v>
      </c>
      <c r="E34" t="str">
        <f ca="1">+PROPER(Tabla2[[#This Row],[Canal_Venta]])</f>
        <v>Online</v>
      </c>
      <c r="F34">
        <v>6</v>
      </c>
      <c r="G34" s="2">
        <v>25</v>
      </c>
      <c r="H34" s="2">
        <f>Tabla2[[#This Row],[Cantidad]]*Tabla2[[#This Row],[Precio_Unitario]]</f>
        <v>150</v>
      </c>
    </row>
    <row r="35" spans="1:8" x14ac:dyDescent="0.3">
      <c r="A35" s="1">
        <v>45325</v>
      </c>
      <c r="B35" t="str">
        <f ca="1">+PROPER(Tabla2[[#This Row],[Ciudad]])</f>
        <v>Ibagué</v>
      </c>
      <c r="C35" t="str">
        <f ca="1">+PROPER(Tabla2[[#This Row],[Producto]])</f>
        <v>Mouse</v>
      </c>
      <c r="D35" t="str">
        <f ca="1">+TRIM(Tabla2[[#This Row],[Categoria]])</f>
        <v>Accesorios</v>
      </c>
      <c r="E35" t="str">
        <f ca="1">+PROPER(Tabla2[[#This Row],[Canal_Venta]])</f>
        <v>Online</v>
      </c>
      <c r="F35">
        <v>6</v>
      </c>
      <c r="G35" s="2">
        <v>25</v>
      </c>
      <c r="H35" s="2">
        <f>Tabla2[[#This Row],[Cantidad]]*Tabla2[[#This Row],[Precio_Unitario]]</f>
        <v>150</v>
      </c>
    </row>
    <row r="36" spans="1:8" x14ac:dyDescent="0.3">
      <c r="A36" s="1">
        <v>45331</v>
      </c>
      <c r="B36" t="str">
        <f ca="1">+PROPER(Tabla2[[#This Row],[Ciudad]])</f>
        <v>Bogotá</v>
      </c>
      <c r="C36" t="str">
        <f ca="1">+PROPER(Tabla2[[#This Row],[Producto]])</f>
        <v>Mouse</v>
      </c>
      <c r="D36" t="str">
        <f ca="1">+TRIM(Tabla2[[#This Row],[Categoria]])</f>
        <v>Accesorios</v>
      </c>
      <c r="E36" t="str">
        <f ca="1">+PROPER(Tabla2[[#This Row],[Canal_Venta]])</f>
        <v>Distribuidor</v>
      </c>
      <c r="F36">
        <v>5</v>
      </c>
      <c r="G36" s="2">
        <v>25</v>
      </c>
      <c r="H36" s="2">
        <f>Tabla2[[#This Row],[Cantidad]]*Tabla2[[#This Row],[Precio_Unitario]]</f>
        <v>125</v>
      </c>
    </row>
    <row r="37" spans="1:8" x14ac:dyDescent="0.3">
      <c r="A37" s="1">
        <v>45337</v>
      </c>
      <c r="B37" t="str">
        <f ca="1">+PROPER(Tabla2[[#This Row],[Ciudad]])</f>
        <v>Medellín</v>
      </c>
      <c r="C37" t="str">
        <f ca="1">+PROPER(Tabla2[[#This Row],[Producto]])</f>
        <v>Mouse</v>
      </c>
      <c r="D37" t="str">
        <f ca="1">+TRIM(Tabla2[[#This Row],[Categoria]])</f>
        <v>Accesorios</v>
      </c>
      <c r="E37" t="str">
        <f ca="1">+PROPER(Tabla2[[#This Row],[Canal_Venta]])</f>
        <v>Online</v>
      </c>
      <c r="F37">
        <v>7</v>
      </c>
      <c r="G37" s="2">
        <v>25</v>
      </c>
      <c r="H37" s="2">
        <f>Tabla2[[#This Row],[Cantidad]]*Tabla2[[#This Row],[Precio_Unitario]]</f>
        <v>175</v>
      </c>
    </row>
    <row r="38" spans="1:8" x14ac:dyDescent="0.3">
      <c r="A38" s="1">
        <v>45343</v>
      </c>
      <c r="B38" t="str">
        <f ca="1">+PROPER(Tabla2[[#This Row],[Ciudad]])</f>
        <v>Cali</v>
      </c>
      <c r="C38" t="str">
        <f ca="1">+PROPER(Tabla2[[#This Row],[Producto]])</f>
        <v>Mouse</v>
      </c>
      <c r="D38" t="str">
        <f ca="1">+TRIM(Tabla2[[#This Row],[Categoria]])</f>
        <v>Accesorios</v>
      </c>
      <c r="E38" t="str">
        <f ca="1">+PROPER(Tabla2[[#This Row],[Canal_Venta]])</f>
        <v>Tienda</v>
      </c>
      <c r="F38">
        <v>6</v>
      </c>
      <c r="G38" s="2">
        <v>25</v>
      </c>
      <c r="H38" s="2">
        <f>Tabla2[[#This Row],[Cantidad]]*Tabla2[[#This Row],[Precio_Unitario]]</f>
        <v>150</v>
      </c>
    </row>
    <row r="39" spans="1:8" x14ac:dyDescent="0.3">
      <c r="A39" s="1">
        <v>45349</v>
      </c>
      <c r="B39" t="str">
        <f ca="1">+PROPER(Tabla2[[#This Row],[Ciudad]])</f>
        <v>Barranquilla</v>
      </c>
      <c r="C39" t="str">
        <f ca="1">+PROPER(Tabla2[[#This Row],[Producto]])</f>
        <v>Mouse</v>
      </c>
      <c r="D39" t="str">
        <f ca="1">+TRIM(Tabla2[[#This Row],[Categoria]])</f>
        <v>Accesorios</v>
      </c>
      <c r="E39" t="str">
        <f ca="1">+PROPER(Tabla2[[#This Row],[Canal_Venta]])</f>
        <v>Tienda</v>
      </c>
      <c r="F39">
        <v>5</v>
      </c>
      <c r="G39" s="2">
        <v>25</v>
      </c>
      <c r="H39" s="2">
        <f>Tabla2[[#This Row],[Cantidad]]*Tabla2[[#This Row],[Precio_Unitario]]</f>
        <v>125</v>
      </c>
    </row>
    <row r="40" spans="1:8" x14ac:dyDescent="0.3">
      <c r="A40" s="1">
        <v>45302</v>
      </c>
      <c r="B40" t="str">
        <f ca="1">+PROPER(Tabla2[[#This Row],[Ciudad]])</f>
        <v>Medellín</v>
      </c>
      <c r="C40" t="str">
        <f ca="1">+PROPER(Tabla2[[#This Row],[Producto]])</f>
        <v>Mouse</v>
      </c>
      <c r="D40" t="str">
        <f ca="1">+TRIM(Tabla2[[#This Row],[Categoria]])</f>
        <v>Accesorios</v>
      </c>
      <c r="E40" t="str">
        <f ca="1">+PROPER(Tabla2[[#This Row],[Canal_Venta]])</f>
        <v>Tienda</v>
      </c>
      <c r="F40">
        <v>5</v>
      </c>
      <c r="G40" s="2">
        <v>25</v>
      </c>
      <c r="H40" s="2">
        <f>Tabla2[[#This Row],[Cantidad]]*Tabla2[[#This Row],[Precio_Unitario]]</f>
        <v>125</v>
      </c>
    </row>
    <row r="41" spans="1:8" x14ac:dyDescent="0.3">
      <c r="A41" s="1">
        <v>45313</v>
      </c>
      <c r="B41" t="str">
        <f ca="1">+PROPER(Tabla2[[#This Row],[Ciudad]])</f>
        <v>Cali</v>
      </c>
      <c r="C41" t="str">
        <f ca="1">+PROPER(Tabla2[[#This Row],[Producto]])</f>
        <v>Mouse</v>
      </c>
      <c r="D41" t="str">
        <f ca="1">+TRIM(Tabla2[[#This Row],[Categoria]])</f>
        <v>Accesorios</v>
      </c>
      <c r="E41" t="str">
        <f ca="1">+PROPER(Tabla2[[#This Row],[Canal_Venta]])</f>
        <v>Distribuidor</v>
      </c>
      <c r="F41">
        <v>6</v>
      </c>
      <c r="G41" s="2">
        <v>25</v>
      </c>
      <c r="H41" s="2">
        <f>Tabla2[[#This Row],[Cantidad]]*Tabla2[[#This Row],[Precio_Unitario]]</f>
        <v>150</v>
      </c>
    </row>
    <row r="42" spans="1:8" x14ac:dyDescent="0.3">
      <c r="A42" s="1">
        <v>45319</v>
      </c>
      <c r="B42" t="str">
        <f ca="1">+PROPER(Tabla2[[#This Row],[Ciudad]])</f>
        <v>Barranquilla</v>
      </c>
      <c r="C42" t="str">
        <f ca="1">+PROPER(Tabla2[[#This Row],[Producto]])</f>
        <v>Mouse</v>
      </c>
      <c r="D42" t="str">
        <f ca="1">+TRIM(Tabla2[[#This Row],[Categoria]])</f>
        <v>Accesorios</v>
      </c>
      <c r="E42" t="str">
        <f ca="1">+PROPER(Tabla2[[#This Row],[Canal_Venta]])</f>
        <v>Online</v>
      </c>
      <c r="F42">
        <v>8</v>
      </c>
      <c r="G42" s="2">
        <v>25</v>
      </c>
      <c r="H42" s="2">
        <f>Tabla2[[#This Row],[Cantidad]]*Tabla2[[#This Row],[Precio_Unitario]]</f>
        <v>200</v>
      </c>
    </row>
    <row r="43" spans="1:8" x14ac:dyDescent="0.3">
      <c r="A43" s="1">
        <v>45331</v>
      </c>
      <c r="B43" t="str">
        <f ca="1">+PROPER(Tabla2[[#This Row],[Ciudad]])</f>
        <v>Bogotá</v>
      </c>
      <c r="C43" t="str">
        <f ca="1">+PROPER(Tabla2[[#This Row],[Producto]])</f>
        <v>Mouse</v>
      </c>
      <c r="D43" t="str">
        <f ca="1">+TRIM(Tabla2[[#This Row],[Categoria]])</f>
        <v>Accesorios</v>
      </c>
      <c r="E43" t="str">
        <f ca="1">+PROPER(Tabla2[[#This Row],[Canal_Venta]])</f>
        <v>Distribuidor</v>
      </c>
      <c r="F43">
        <v>5</v>
      </c>
      <c r="G43" s="2">
        <v>25</v>
      </c>
      <c r="H43" s="2">
        <f>Tabla2[[#This Row],[Cantidad]]*Tabla2[[#This Row],[Precio_Unitario]]</f>
        <v>125</v>
      </c>
    </row>
    <row r="44" spans="1:8" x14ac:dyDescent="0.3">
      <c r="A44" s="1">
        <v>45343</v>
      </c>
      <c r="B44" t="str">
        <f ca="1">+PROPER(Tabla2[[#This Row],[Ciudad]])</f>
        <v>Cali</v>
      </c>
      <c r="C44" t="str">
        <f ca="1">+PROPER(Tabla2[[#This Row],[Producto]])</f>
        <v>Mouse</v>
      </c>
      <c r="D44" t="str">
        <f ca="1">+TRIM(Tabla2[[#This Row],[Categoria]])</f>
        <v>Accesorios</v>
      </c>
      <c r="E44" t="str">
        <f ca="1">+PROPER(Tabla2[[#This Row],[Canal_Venta]])</f>
        <v>Tienda</v>
      </c>
      <c r="F44">
        <v>6</v>
      </c>
      <c r="G44" s="2">
        <v>25</v>
      </c>
      <c r="H44" s="2">
        <f>Tabla2[[#This Row],[Cantidad]]*Tabla2[[#This Row],[Precio_Unitario]]</f>
        <v>150</v>
      </c>
    </row>
    <row r="45" spans="1:8" x14ac:dyDescent="0.3">
      <c r="A45" s="1">
        <v>45349</v>
      </c>
      <c r="B45" t="str">
        <f ca="1">+PROPER(Tabla2[[#This Row],[Ciudad]])</f>
        <v>Barranquilla</v>
      </c>
      <c r="C45" t="str">
        <f ca="1">+PROPER(Tabla2[[#This Row],[Producto]])</f>
        <v>Mouse</v>
      </c>
      <c r="D45" t="str">
        <f ca="1">+TRIM(Tabla2[[#This Row],[Categoria]])</f>
        <v>Accesorios</v>
      </c>
      <c r="E45" t="str">
        <f ca="1">+PROPER(Tabla2[[#This Row],[Canal_Venta]])</f>
        <v>Tienda</v>
      </c>
      <c r="F45">
        <v>5</v>
      </c>
      <c r="G45" s="2">
        <v>25</v>
      </c>
      <c r="H45" s="2">
        <f>Tabla2[[#This Row],[Cantidad]]*Tabla2[[#This Row],[Precio_Unitario]]</f>
        <v>125</v>
      </c>
    </row>
    <row r="46" spans="1:8" x14ac:dyDescent="0.3">
      <c r="A46" s="1">
        <v>45350</v>
      </c>
      <c r="B46" t="str">
        <f ca="1">+PROPER(Tabla2[[#This Row],[Ciudad]])</f>
        <v>Ibagué</v>
      </c>
      <c r="C46" t="str">
        <f ca="1">+PROPER(Tabla2[[#This Row],[Producto]])</f>
        <v>Periféricos</v>
      </c>
      <c r="D46" t="str">
        <f ca="1">+TRIM(Tabla2[[#This Row],[Categoria]])</f>
        <v>Monitor</v>
      </c>
      <c r="E46" t="str">
        <f ca="1">+PROPER(Tabla2[[#This Row],[Canal_Venta]])</f>
        <v>Online</v>
      </c>
      <c r="F46">
        <v>2</v>
      </c>
      <c r="G46" s="2">
        <v>200</v>
      </c>
      <c r="H46" s="2">
        <f>Tabla2[[#This Row],[Cantidad]]*Tabla2[[#This Row],[Precio_Unitario]]</f>
        <v>400</v>
      </c>
    </row>
    <row r="47" spans="1:8" x14ac:dyDescent="0.3">
      <c r="A47" s="1">
        <v>45311</v>
      </c>
      <c r="B47" t="str">
        <f ca="1">+PROPER(Tabla2[[#This Row],[Ciudad]])</f>
        <v>Bogotá</v>
      </c>
      <c r="C47" t="str">
        <f ca="1">+PROPER(Tabla2[[#This Row],[Producto]])</f>
        <v>Tablet</v>
      </c>
      <c r="D47" t="str">
        <f ca="1">+TRIM(Tabla2[[#This Row],[Categoria]])</f>
        <v>Tecnología</v>
      </c>
      <c r="E47" t="str">
        <f ca="1">+PROPER(Tabla2[[#This Row],[Canal_Venta]])</f>
        <v>Online</v>
      </c>
      <c r="F47">
        <v>3</v>
      </c>
      <c r="G47" s="2">
        <v>600</v>
      </c>
      <c r="H47" s="2">
        <f>Tabla2[[#This Row],[Cantidad]]*Tabla2[[#This Row],[Precio_Unitario]]</f>
        <v>1800</v>
      </c>
    </row>
    <row r="48" spans="1:8" x14ac:dyDescent="0.3">
      <c r="A48" s="1">
        <v>45317</v>
      </c>
      <c r="B48" t="str">
        <f ca="1">+PROPER(Tabla2[[#This Row],[Ciudad]])</f>
        <v>Medellín</v>
      </c>
      <c r="C48" t="str">
        <f ca="1">+PROPER(Tabla2[[#This Row],[Producto]])</f>
        <v>Tablet</v>
      </c>
      <c r="D48" t="str">
        <f ca="1">+TRIM(Tabla2[[#This Row],[Categoria]])</f>
        <v>Tecnología</v>
      </c>
      <c r="E48" t="str">
        <f ca="1">+PROPER(Tabla2[[#This Row],[Canal_Venta]])</f>
        <v>Distribuidor</v>
      </c>
      <c r="F48">
        <v>2</v>
      </c>
      <c r="G48" s="2">
        <v>600</v>
      </c>
      <c r="H48" s="2">
        <f>Tabla2[[#This Row],[Cantidad]]*Tabla2[[#This Row],[Precio_Unitario]]</f>
        <v>1200</v>
      </c>
    </row>
    <row r="49" spans="1:8" x14ac:dyDescent="0.3">
      <c r="A49" s="1">
        <v>45323</v>
      </c>
      <c r="B49" t="str">
        <f ca="1">+PROPER(Tabla2[[#This Row],[Ciudad]])</f>
        <v>Cali</v>
      </c>
      <c r="C49" t="str">
        <f ca="1">+PROPER(Tabla2[[#This Row],[Producto]])</f>
        <v>Tablet</v>
      </c>
      <c r="D49" t="str">
        <f ca="1">+TRIM(Tabla2[[#This Row],[Categoria]])</f>
        <v>Tecnología</v>
      </c>
      <c r="E49" t="str">
        <f ca="1">+PROPER(Tabla2[[#This Row],[Canal_Venta]])</f>
        <v>Tienda</v>
      </c>
      <c r="F49">
        <v>2</v>
      </c>
      <c r="G49" s="2">
        <v>600</v>
      </c>
      <c r="H49" s="2">
        <f>Tabla2[[#This Row],[Cantidad]]*Tabla2[[#This Row],[Precio_Unitario]]</f>
        <v>1200</v>
      </c>
    </row>
    <row r="50" spans="1:8" x14ac:dyDescent="0.3">
      <c r="A50" s="1">
        <v>45329</v>
      </c>
      <c r="B50" t="str">
        <f ca="1">+PROPER(Tabla2[[#This Row],[Ciudad]])</f>
        <v>Barranquilla</v>
      </c>
      <c r="C50" t="str">
        <f ca="1">+PROPER(Tabla2[[#This Row],[Producto]])</f>
        <v>Tablet</v>
      </c>
      <c r="D50" t="str">
        <f ca="1">+TRIM(Tabla2[[#This Row],[Categoria]])</f>
        <v>Tecnología</v>
      </c>
      <c r="E50" t="str">
        <f ca="1">+PROPER(Tabla2[[#This Row],[Canal_Venta]])</f>
        <v>Tienda</v>
      </c>
      <c r="F50">
        <v>2</v>
      </c>
      <c r="G50" s="2">
        <v>600</v>
      </c>
      <c r="H50" s="2">
        <f>Tabla2[[#This Row],[Cantidad]]*Tabla2[[#This Row],[Precio_Unitario]]</f>
        <v>1200</v>
      </c>
    </row>
    <row r="51" spans="1:8" x14ac:dyDescent="0.3">
      <c r="A51" s="1">
        <v>45335</v>
      </c>
      <c r="B51" t="str">
        <f ca="1">+PROPER(Tabla2[[#This Row],[Ciudad]])</f>
        <v>Ibagué</v>
      </c>
      <c r="C51" t="str">
        <f ca="1">+PROPER(Tabla2[[#This Row],[Producto]])</f>
        <v>Tablet</v>
      </c>
      <c r="D51" t="str">
        <f ca="1">+TRIM(Tabla2[[#This Row],[Categoria]])</f>
        <v>Tecnología</v>
      </c>
      <c r="E51" t="str">
        <f ca="1">+PROPER(Tabla2[[#This Row],[Canal_Venta]])</f>
        <v>Online</v>
      </c>
      <c r="F51">
        <v>3</v>
      </c>
      <c r="G51" s="2">
        <v>600</v>
      </c>
      <c r="H51" s="2">
        <f>Tabla2[[#This Row],[Cantidad]]*Tabla2[[#This Row],[Precio_Unitario]]</f>
        <v>1800</v>
      </c>
    </row>
    <row r="52" spans="1:8" x14ac:dyDescent="0.3">
      <c r="A52" s="1">
        <v>45341</v>
      </c>
      <c r="B52" t="str">
        <f ca="1">+PROPER(Tabla2[[#This Row],[Ciudad]])</f>
        <v>Bogotá</v>
      </c>
      <c r="C52" t="str">
        <f ca="1">+PROPER(Tabla2[[#This Row],[Producto]])</f>
        <v>Tablet</v>
      </c>
      <c r="D52" t="str">
        <f ca="1">+TRIM(Tabla2[[#This Row],[Categoria]])</f>
        <v>Tecnología</v>
      </c>
      <c r="E52" t="str">
        <f ca="1">+PROPER(Tabla2[[#This Row],[Canal_Venta]])</f>
        <v>Distribuidor</v>
      </c>
      <c r="F52">
        <v>2</v>
      </c>
      <c r="G52" s="2">
        <v>600</v>
      </c>
      <c r="H52" s="2">
        <f>Tabla2[[#This Row],[Cantidad]]*Tabla2[[#This Row],[Precio_Unitario]]</f>
        <v>1200</v>
      </c>
    </row>
    <row r="53" spans="1:8" x14ac:dyDescent="0.3">
      <c r="A53" s="1">
        <v>45335</v>
      </c>
      <c r="B53" t="str">
        <f ca="1">+PROPER(Tabla2[[#This Row],[Ciudad]])</f>
        <v>Ibagué</v>
      </c>
      <c r="C53" t="str">
        <f ca="1">+PROPER(Tabla2[[#This Row],[Producto]])</f>
        <v>Tablet</v>
      </c>
      <c r="D53" t="str">
        <f ca="1">+TRIM(Tabla2[[#This Row],[Categoria]])</f>
        <v>Tecnología</v>
      </c>
      <c r="E53" t="str">
        <f ca="1">+PROPER(Tabla2[[#This Row],[Canal_Venta]])</f>
        <v>Online</v>
      </c>
      <c r="F53">
        <v>3</v>
      </c>
      <c r="G53" s="2">
        <v>600</v>
      </c>
      <c r="H53" s="2">
        <f>Tabla2[[#This Row],[Cantidad]]*Tabla2[[#This Row],[Precio_Unitario]]</f>
        <v>1800</v>
      </c>
    </row>
    <row r="54" spans="1:8" x14ac:dyDescent="0.3">
      <c r="A54" s="1">
        <v>45347</v>
      </c>
      <c r="B54" t="str">
        <f ca="1">+PROPER(Tabla2[[#This Row],[Ciudad]])</f>
        <v>Medellín</v>
      </c>
      <c r="C54" t="str">
        <f ca="1">+PROPER(Tabla2[[#This Row],[Producto]])</f>
        <v>Tablet</v>
      </c>
      <c r="D54" t="str">
        <f ca="1">+TRIM(Tabla2[[#This Row],[Categoria]])</f>
        <v>Tecnología</v>
      </c>
      <c r="E54" t="str">
        <f ca="1">+PROPER(Tabla2[[#This Row],[Canal_Venta]])</f>
        <v>Online</v>
      </c>
      <c r="F54">
        <v>2</v>
      </c>
      <c r="G54" s="2">
        <v>600</v>
      </c>
      <c r="H54" s="2">
        <f>Tabla2[[#This Row],[Cantidad]]*Tabla2[[#This Row],[Precio_Unitario]]</f>
        <v>1200</v>
      </c>
    </row>
    <row r="55" spans="1:8" x14ac:dyDescent="0.3">
      <c r="A55" s="1">
        <v>45317</v>
      </c>
      <c r="B55" t="str">
        <f ca="1">+PROPER(Tabla2[[#This Row],[Ciudad]])</f>
        <v xml:space="preserve">Medellín </v>
      </c>
      <c r="C55" t="str">
        <f ca="1">+PROPER(Tabla2[[#This Row],[Producto]])</f>
        <v>Tablet</v>
      </c>
      <c r="D55" t="str">
        <f ca="1">+TRIM(Tabla2[[#This Row],[Categoria]])</f>
        <v>Tecnología</v>
      </c>
      <c r="E55" t="str">
        <f ca="1">+PROPER(Tabla2[[#This Row],[Canal_Venta]])</f>
        <v>Distribuidor</v>
      </c>
      <c r="F55">
        <v>2</v>
      </c>
      <c r="G55" s="2">
        <v>600</v>
      </c>
      <c r="H55" s="2">
        <f>Tabla2[[#This Row],[Cantidad]]*Tabla2[[#This Row],[Precio_Unitario]]</f>
        <v>1200</v>
      </c>
    </row>
    <row r="56" spans="1:8" x14ac:dyDescent="0.3">
      <c r="A56" s="1">
        <v>45323</v>
      </c>
      <c r="B56" t="str">
        <f ca="1">+PROPER(Tabla2[[#This Row],[Ciudad]])</f>
        <v>Cali</v>
      </c>
      <c r="C56" t="str">
        <f ca="1">+PROPER(Tabla2[[#This Row],[Producto]])</f>
        <v>Tablet</v>
      </c>
      <c r="D56" t="str">
        <f ca="1">+TRIM(Tabla2[[#This Row],[Categoria]])</f>
        <v>Tecnología</v>
      </c>
      <c r="E56" t="str">
        <f ca="1">+PROPER(Tabla2[[#This Row],[Canal_Venta]])</f>
        <v>Tienda</v>
      </c>
      <c r="F56">
        <v>2</v>
      </c>
      <c r="G56" s="2">
        <v>600</v>
      </c>
      <c r="H56" s="2">
        <f>Tabla2[[#This Row],[Cantidad]]*Tabla2[[#This Row],[Precio_Unitario]]</f>
        <v>1200</v>
      </c>
    </row>
    <row r="57" spans="1:8" x14ac:dyDescent="0.3">
      <c r="A57" s="1">
        <v>45329</v>
      </c>
      <c r="B57" t="str">
        <f ca="1">+PROPER(Tabla2[[#This Row],[Ciudad]])</f>
        <v>Barranquilla</v>
      </c>
      <c r="C57" t="str">
        <f ca="1">+PROPER(Tabla2[[#This Row],[Producto]])</f>
        <v>Tablet</v>
      </c>
      <c r="D57" t="str">
        <f ca="1">+TRIM(Tabla2[[#This Row],[Categoria]])</f>
        <v>Tecnología</v>
      </c>
      <c r="E57" t="str">
        <f ca="1">+PROPER(Tabla2[[#This Row],[Canal_Venta]])</f>
        <v>Tienda</v>
      </c>
      <c r="F57">
        <v>2</v>
      </c>
      <c r="G57" s="2">
        <v>600</v>
      </c>
      <c r="H57" s="2">
        <f>Tabla2[[#This Row],[Cantidad]]*Tabla2[[#This Row],[Precio_Unitario]]</f>
        <v>1200</v>
      </c>
    </row>
    <row r="58" spans="1:8" x14ac:dyDescent="0.3">
      <c r="A58" s="1">
        <v>45341</v>
      </c>
      <c r="B58" t="str">
        <f ca="1">+PROPER(Tabla2[[#This Row],[Ciudad]])</f>
        <v>Bogotá</v>
      </c>
      <c r="C58" t="str">
        <f ca="1">+PROPER(Tabla2[[#This Row],[Producto]])</f>
        <v>Tablet</v>
      </c>
      <c r="D58" t="str">
        <f ca="1">+TRIM(Tabla2[[#This Row],[Categoria]])</f>
        <v>Tecnología</v>
      </c>
      <c r="E58" t="str">
        <f ca="1">+PROPER(Tabla2[[#This Row],[Canal_Venta]])</f>
        <v>Distribuidor</v>
      </c>
      <c r="F58">
        <v>2</v>
      </c>
      <c r="G58" s="2">
        <v>600</v>
      </c>
      <c r="H58" s="2">
        <f>Tabla2[[#This Row],[Cantidad]]*Tabla2[[#This Row],[Precio_Unitario]]</f>
        <v>1200</v>
      </c>
    </row>
    <row r="59" spans="1:8" x14ac:dyDescent="0.3">
      <c r="A59" s="1">
        <v>45347</v>
      </c>
      <c r="B59" t="str">
        <f ca="1">+PROPER(Tabla2[[#This Row],[Ciudad]])</f>
        <v>Medellín</v>
      </c>
      <c r="C59" t="str">
        <f ca="1">+PROPER(Tabla2[[#This Row],[Producto]])</f>
        <v>Tablet</v>
      </c>
      <c r="D59" t="str">
        <f ca="1">+TRIM(Tabla2[[#This Row],[Categoria]])</f>
        <v>Tecnología</v>
      </c>
      <c r="E59" t="str">
        <f ca="1">+PROPER(Tabla2[[#This Row],[Canal_Venta]])</f>
        <v>Online</v>
      </c>
      <c r="F59">
        <v>2</v>
      </c>
      <c r="G59" s="2">
        <v>600</v>
      </c>
      <c r="H59" s="2">
        <f>Tabla2[[#This Row],[Cantidad]]*Tabla2[[#This Row],[Precio_Unitario]]</f>
        <v>1200</v>
      </c>
    </row>
    <row r="60" spans="1:8" x14ac:dyDescent="0.3">
      <c r="A60" s="1">
        <v>45304</v>
      </c>
      <c r="B60" t="str">
        <f ca="1">+PROPER(Tabla2[[#This Row],[Ciudad]])</f>
        <v>Barranquilla</v>
      </c>
      <c r="C60" t="str">
        <f ca="1">+PROPER(Tabla2[[#This Row],[Producto]])</f>
        <v>Teclado</v>
      </c>
      <c r="D60" t="str">
        <f ca="1">+TRIM(Tabla2[[#This Row],[Categoria]])</f>
        <v>Accesorios</v>
      </c>
      <c r="E60" t="str">
        <f ca="1">+PROPER(Tabla2[[#This Row],[Canal_Venta]])</f>
        <v>Online</v>
      </c>
      <c r="F60">
        <v>4</v>
      </c>
      <c r="G60" s="2">
        <v>40</v>
      </c>
      <c r="H60" s="2">
        <f>Tabla2[[#This Row],[Cantidad]]*Tabla2[[#This Row],[Precio_Unitario]]</f>
        <v>160</v>
      </c>
    </row>
    <row r="61" spans="1:8" x14ac:dyDescent="0.3">
      <c r="A61" s="1">
        <v>45309</v>
      </c>
      <c r="B61" t="str">
        <f ca="1">+PROPER(Tabla2[[#This Row],[Ciudad]])</f>
        <v>Barranquilla</v>
      </c>
      <c r="C61" t="str">
        <f ca="1">+PROPER(Tabla2[[#This Row],[Producto]])</f>
        <v>Teclado</v>
      </c>
      <c r="D61" t="str">
        <f ca="1">+TRIM(Tabla2[[#This Row],[Categoria]])</f>
        <v>Accesorios</v>
      </c>
      <c r="E61" t="str">
        <f ca="1">+PROPER(Tabla2[[#This Row],[Canal_Venta]])</f>
        <v>Distribuidor</v>
      </c>
      <c r="F61">
        <v>3</v>
      </c>
      <c r="G61" s="2">
        <v>40</v>
      </c>
      <c r="H61" s="2">
        <f>Tabla2[[#This Row],[Cantidad]]*Tabla2[[#This Row],[Precio_Unitario]]</f>
        <v>120</v>
      </c>
    </row>
    <row r="62" spans="1:8" x14ac:dyDescent="0.3">
      <c r="A62" s="1">
        <v>45321</v>
      </c>
      <c r="B62" t="str">
        <f ca="1">+PROPER(Tabla2[[#This Row],[Ciudad]])</f>
        <v>Bogotá</v>
      </c>
      <c r="C62" t="str">
        <f ca="1">+PROPER(Tabla2[[#This Row],[Producto]])</f>
        <v>Teclado</v>
      </c>
      <c r="D62" t="str">
        <f ca="1">+TRIM(Tabla2[[#This Row],[Categoria]])</f>
        <v>Accesorios</v>
      </c>
      <c r="E62" t="str">
        <f ca="1">+PROPER(Tabla2[[#This Row],[Canal_Venta]])</f>
        <v>Distribuidor</v>
      </c>
      <c r="F62">
        <v>4</v>
      </c>
      <c r="G62" s="2">
        <v>40</v>
      </c>
      <c r="H62" s="2">
        <f>Tabla2[[#This Row],[Cantidad]]*Tabla2[[#This Row],[Precio_Unitario]]</f>
        <v>160</v>
      </c>
    </row>
    <row r="63" spans="1:8" x14ac:dyDescent="0.3">
      <c r="A63" s="1">
        <v>45327</v>
      </c>
      <c r="B63" t="str">
        <f ca="1">+PROPER(Tabla2[[#This Row],[Ciudad]])</f>
        <v>Medellín</v>
      </c>
      <c r="C63" t="str">
        <f ca="1">+PROPER(Tabla2[[#This Row],[Producto]])</f>
        <v>Teclado</v>
      </c>
      <c r="D63" t="str">
        <f ca="1">+TRIM(Tabla2[[#This Row],[Categoria]])</f>
        <v>Accesorios</v>
      </c>
      <c r="E63" t="str">
        <f ca="1">+PROPER(Tabla2[[#This Row],[Canal_Venta]])</f>
        <v>Online</v>
      </c>
      <c r="F63">
        <v>4</v>
      </c>
      <c r="G63" s="2">
        <v>40</v>
      </c>
      <c r="H63" s="2">
        <f>Tabla2[[#This Row],[Cantidad]]*Tabla2[[#This Row],[Precio_Unitario]]</f>
        <v>160</v>
      </c>
    </row>
    <row r="64" spans="1:8" x14ac:dyDescent="0.3">
      <c r="A64" s="1">
        <v>45333</v>
      </c>
      <c r="B64" t="str">
        <f ca="1">+PROPER(Tabla2[[#This Row],[Ciudad]])</f>
        <v>Cali</v>
      </c>
      <c r="C64" t="str">
        <f ca="1">+PROPER(Tabla2[[#This Row],[Producto]])</f>
        <v>Teclado</v>
      </c>
      <c r="D64" t="str">
        <f ca="1">+TRIM(Tabla2[[#This Row],[Categoria]])</f>
        <v>Accesorios</v>
      </c>
      <c r="E64" t="str">
        <f ca="1">+PROPER(Tabla2[[#This Row],[Canal_Venta]])</f>
        <v>Online</v>
      </c>
      <c r="F64">
        <v>4</v>
      </c>
      <c r="G64" s="2">
        <v>40</v>
      </c>
      <c r="H64" s="2">
        <f>Tabla2[[#This Row],[Cantidad]]*Tabla2[[#This Row],[Precio_Unitario]]</f>
        <v>160</v>
      </c>
    </row>
    <row r="65" spans="1:8" x14ac:dyDescent="0.3">
      <c r="A65" s="1">
        <v>45339</v>
      </c>
      <c r="B65" t="str">
        <f ca="1">+PROPER(Tabla2[[#This Row],[Ciudad]])</f>
        <v>Barranquilla</v>
      </c>
      <c r="C65" t="str">
        <f ca="1">+PROPER(Tabla2[[#This Row],[Producto]])</f>
        <v>Teclado</v>
      </c>
      <c r="D65" t="str">
        <f ca="1">+TRIM(Tabla2[[#This Row],[Categoria]])</f>
        <v>Accesorios</v>
      </c>
      <c r="E65" t="str">
        <f ca="1">+PROPER(Tabla2[[#This Row],[Canal_Venta]])</f>
        <v>Tienda</v>
      </c>
      <c r="F65">
        <v>5</v>
      </c>
      <c r="G65" s="2">
        <v>40</v>
      </c>
      <c r="H65" s="2">
        <f>Tabla2[[#This Row],[Cantidad]]*Tabla2[[#This Row],[Precio_Unitario]]</f>
        <v>200</v>
      </c>
    </row>
    <row r="66" spans="1:8" x14ac:dyDescent="0.3">
      <c r="A66" s="1">
        <v>45315</v>
      </c>
      <c r="B66" t="str">
        <f ca="1">+PROPER(Tabla2[[#This Row],[Ciudad]])</f>
        <v>Ibagué</v>
      </c>
      <c r="C66" t="str">
        <f ca="1">+PROPER(Tabla2[[#This Row],[Producto]])</f>
        <v>Teclado</v>
      </c>
      <c r="D66" t="str">
        <f ca="1">+TRIM(Tabla2[[#This Row],[Categoria]])</f>
        <v>Accesorios</v>
      </c>
      <c r="E66" t="str">
        <f ca="1">+PROPER(Tabla2[[#This Row],[Canal_Venta]])</f>
        <v>Tienda</v>
      </c>
      <c r="F66">
        <v>5</v>
      </c>
      <c r="G66" s="2">
        <v>40</v>
      </c>
      <c r="H66" s="2">
        <f>Tabla2[[#This Row],[Cantidad]]*Tabla2[[#This Row],[Precio_Unitario]]</f>
        <v>200</v>
      </c>
    </row>
    <row r="67" spans="1:8" x14ac:dyDescent="0.3">
      <c r="A67" s="1">
        <v>45304</v>
      </c>
      <c r="B67" t="str">
        <f ca="1">+PROPER(Tabla2[[#This Row],[Ciudad]])</f>
        <v>Barranquilla</v>
      </c>
      <c r="C67" t="str">
        <f ca="1">+PROPER(Tabla2[[#This Row],[Producto]])</f>
        <v>Teclado</v>
      </c>
      <c r="D67" t="str">
        <f ca="1">+TRIM(Tabla2[[#This Row],[Categoria]])</f>
        <v>Accesorios</v>
      </c>
      <c r="E67" t="str">
        <f ca="1">+PROPER(Tabla2[[#This Row],[Canal_Venta]])</f>
        <v>Online</v>
      </c>
      <c r="F67">
        <v>4</v>
      </c>
      <c r="G67" s="2">
        <v>40</v>
      </c>
      <c r="H67" s="2">
        <f>Tabla2[[#This Row],[Cantidad]]*Tabla2[[#This Row],[Precio_Unitario]]</f>
        <v>160</v>
      </c>
    </row>
    <row r="68" spans="1:8" x14ac:dyDescent="0.3">
      <c r="A68" s="1">
        <v>45345</v>
      </c>
      <c r="B68" t="str">
        <f ca="1">+PROPER(Tabla2[[#This Row],[Ciudad]])</f>
        <v>Ibagué</v>
      </c>
      <c r="C68" t="str">
        <f ca="1">+PROPER(Tabla2[[#This Row],[Producto]])</f>
        <v>Teclado</v>
      </c>
      <c r="D68" t="str">
        <f ca="1">+TRIM(Tabla2[[#This Row],[Categoria]])</f>
        <v>Accesorios</v>
      </c>
      <c r="E68" t="str">
        <f ca="1">+PROPER(Tabla2[[#This Row],[Canal_Venta]])</f>
        <v>Distribuidor</v>
      </c>
      <c r="F68">
        <v>4</v>
      </c>
      <c r="G68" s="2">
        <v>40</v>
      </c>
      <c r="H68" s="2">
        <f>Tabla2[[#This Row],[Cantidad]]*Tabla2[[#This Row],[Precio_Unitario]]</f>
        <v>160</v>
      </c>
    </row>
    <row r="69" spans="1:8" x14ac:dyDescent="0.3">
      <c r="A69" s="1">
        <v>45315</v>
      </c>
      <c r="B69" t="str">
        <f ca="1">+PROPER(Tabla2[[#This Row],[Ciudad]])</f>
        <v>Ibagué</v>
      </c>
      <c r="C69" t="str">
        <f ca="1">+PROPER(Tabla2[[#This Row],[Producto]])</f>
        <v>Teclado</v>
      </c>
      <c r="D69" t="str">
        <f ca="1">+TRIM(Tabla2[[#This Row],[Categoria]])</f>
        <v>Accesorios</v>
      </c>
      <c r="E69" t="str">
        <f ca="1">+PROPER(Tabla2[[#This Row],[Canal_Venta]])</f>
        <v>Tienda</v>
      </c>
      <c r="F69">
        <v>5</v>
      </c>
      <c r="G69" s="2">
        <v>40</v>
      </c>
      <c r="H69" s="2">
        <f>Tabla2[[#This Row],[Cantidad]]*Tabla2[[#This Row],[Precio_Unitario]]</f>
        <v>200</v>
      </c>
    </row>
    <row r="70" spans="1:8" x14ac:dyDescent="0.3">
      <c r="A70" s="1">
        <v>45345</v>
      </c>
      <c r="B70" t="str">
        <f ca="1">+PROPER(Tabla2[[#This Row],[Ciudad]])</f>
        <v>Ibagué</v>
      </c>
      <c r="C70" t="str">
        <f ca="1">+PROPER(Tabla2[[#This Row],[Producto]])</f>
        <v>Teclado</v>
      </c>
      <c r="D70" t="str">
        <f ca="1">+TRIM(Tabla2[[#This Row],[Categoria]])</f>
        <v>Accesorios</v>
      </c>
      <c r="E70" t="str">
        <f ca="1">+PROPER(Tabla2[[#This Row],[Canal_Venta]])</f>
        <v>Distribuidor</v>
      </c>
      <c r="F70">
        <v>4</v>
      </c>
      <c r="G70" s="2">
        <v>40</v>
      </c>
      <c r="H70" s="2">
        <f>Tabla2[[#This Row],[Cantidad]]*Tabla2[[#This Row],[Precio_Unitario]]</f>
        <v>160</v>
      </c>
    </row>
    <row r="71" spans="1:8" x14ac:dyDescent="0.3">
      <c r="A71" s="1">
        <v>45321</v>
      </c>
      <c r="B71" t="str">
        <f ca="1">+PROPER(Tabla2[[#This Row],[Ciudad]])</f>
        <v>Bogotá</v>
      </c>
      <c r="C71" t="str">
        <f ca="1">+PROPER(Tabla2[[#This Row],[Producto]])</f>
        <v>Teclado</v>
      </c>
      <c r="D71" t="str">
        <f ca="1">+TRIM(Tabla2[[#This Row],[Categoria]])</f>
        <v>Accesorios</v>
      </c>
      <c r="E71" t="str">
        <f ca="1">+PROPER(Tabla2[[#This Row],[Canal_Venta]])</f>
        <v>Distribuidor</v>
      </c>
      <c r="F71">
        <v>4</v>
      </c>
      <c r="G71" s="2">
        <v>40</v>
      </c>
      <c r="H71" s="2">
        <f>Tabla2[[#This Row],[Cantidad]]*Tabla2[[#This Row],[Precio_Unitario]]</f>
        <v>160</v>
      </c>
    </row>
    <row r="72" spans="1:8" x14ac:dyDescent="0.3">
      <c r="A72" s="1">
        <v>45343</v>
      </c>
      <c r="B72" t="str">
        <f ca="1">+PROPER(Tabla2[[#This Row],[Ciudad]])</f>
        <v>Cali</v>
      </c>
      <c r="C72" t="str">
        <f ca="1">+PROPER(Tabla2[[#This Row],[Producto]])</f>
        <v>Teclado</v>
      </c>
      <c r="D72" t="str">
        <f ca="1">+TRIM(Tabla2[[#This Row],[Categoria]])</f>
        <v>Accesorios</v>
      </c>
      <c r="E72" t="str">
        <f ca="1">+PROPER(Tabla2[[#This Row],[Canal_Venta]])</f>
        <v>Online</v>
      </c>
      <c r="F72">
        <v>4</v>
      </c>
      <c r="G72" s="2">
        <v>40</v>
      </c>
      <c r="H72" s="2">
        <f>Tabla2[[#This Row],[Cantidad]]*Tabla2[[#This Row],[Precio_Unitario]]</f>
        <v>160</v>
      </c>
    </row>
    <row r="73" spans="1:8" x14ac:dyDescent="0.3">
      <c r="A73" s="1">
        <v>45339</v>
      </c>
      <c r="B73" t="str">
        <f ca="1">+PROPER(Tabla2[[#This Row],[Ciudad]])</f>
        <v>Barranquilla</v>
      </c>
      <c r="C73" t="str">
        <f ca="1">+PROPER(Tabla2[[#This Row],[Producto]])</f>
        <v>Teclado</v>
      </c>
      <c r="D73" t="str">
        <f ca="1">+TRIM(Tabla2[[#This Row],[Categoria]])</f>
        <v>Accesorios</v>
      </c>
      <c r="E73" t="str">
        <f ca="1">+PROPER(Tabla2[[#This Row],[Canal_Venta]])</f>
        <v>Tienda</v>
      </c>
      <c r="F73">
        <v>5</v>
      </c>
      <c r="G73" s="2">
        <v>40</v>
      </c>
      <c r="H73" s="2">
        <f>Tabla2[[#This Row],[Cantidad]]*Tabla2[[#This Row],[Precio_Unitario]]</f>
        <v>200</v>
      </c>
    </row>
    <row r="74" spans="1:8" x14ac:dyDescent="0.3">
      <c r="A74" s="1">
        <v>45316</v>
      </c>
      <c r="B74" t="str">
        <f ca="1">+PROPER(Tabla2[[#This Row],[Ciudad]])</f>
        <v>Bogotá</v>
      </c>
      <c r="C74" t="str">
        <f ca="1">+PROPER(Tabla2[[#This Row],[Producto]])</f>
        <v>Webcam</v>
      </c>
      <c r="D74" t="str">
        <f ca="1">+TRIM(Tabla2[[#This Row],[Categoria]])</f>
        <v>Periféricos</v>
      </c>
      <c r="E74" t="str">
        <f ca="1">+PROPER(Tabla2[[#This Row],[Canal_Venta]])</f>
        <v>Online</v>
      </c>
      <c r="F74">
        <v>3</v>
      </c>
      <c r="G74" s="2">
        <v>80</v>
      </c>
      <c r="H74" s="2">
        <f>Tabla2[[#This Row],[Cantidad]]*Tabla2[[#This Row],[Precio_Unitario]]</f>
        <v>240</v>
      </c>
    </row>
    <row r="75" spans="1:8" x14ac:dyDescent="0.3">
      <c r="A75" s="1">
        <v>45322</v>
      </c>
      <c r="B75" t="str">
        <f ca="1">+PROPER(Tabla2[[#This Row],[Ciudad]])</f>
        <v>Medellín</v>
      </c>
      <c r="C75" t="str">
        <f ca="1">+PROPER(Tabla2[[#This Row],[Producto]])</f>
        <v>Webcam</v>
      </c>
      <c r="D75" t="str">
        <f ca="1">+TRIM(Tabla2[[#This Row],[Categoria]])</f>
        <v>Periféréricos</v>
      </c>
      <c r="E75" t="str">
        <f ca="1">+PROPER(Tabla2[[#This Row],[Canal_Venta]])</f>
        <v>Online</v>
      </c>
      <c r="F75">
        <v>3</v>
      </c>
      <c r="G75" s="2">
        <v>80</v>
      </c>
      <c r="H75" s="2">
        <f>Tabla2[[#This Row],[Cantidad]]*Tabla2[[#This Row],[Precio_Unitario]]</f>
        <v>240</v>
      </c>
    </row>
    <row r="76" spans="1:8" x14ac:dyDescent="0.3">
      <c r="A76" s="1">
        <v>45328</v>
      </c>
      <c r="B76" t="str">
        <f ca="1">+PROPER(Tabla2[[#This Row],[Ciudad]])</f>
        <v>Cali</v>
      </c>
      <c r="C76" t="str">
        <f ca="1">+PROPER(Tabla2[[#This Row],[Producto]])</f>
        <v>Webcam</v>
      </c>
      <c r="D76" t="str">
        <f ca="1">+TRIM(Tabla2[[#This Row],[Categoria]])</f>
        <v>Periféricos</v>
      </c>
      <c r="E76" t="str">
        <f ca="1">+PROPER(Tabla2[[#This Row],[Canal_Venta]])</f>
        <v>Distribuidor</v>
      </c>
      <c r="F76">
        <v>3</v>
      </c>
      <c r="G76" s="2">
        <v>80</v>
      </c>
      <c r="H76" s="2">
        <f>Tabla2[[#This Row],[Cantidad]]*Tabla2[[#This Row],[Precio_Unitario]]</f>
        <v>240</v>
      </c>
    </row>
    <row r="77" spans="1:8" x14ac:dyDescent="0.3">
      <c r="A77" s="1">
        <v>45334</v>
      </c>
      <c r="B77" t="str">
        <f ca="1">+PROPER(Tabla2[[#This Row],[Ciudad]])</f>
        <v>Barranquilla</v>
      </c>
      <c r="C77" t="str">
        <f ca="1">+PROPER(Tabla2[[#This Row],[Producto]])</f>
        <v>Webcam</v>
      </c>
      <c r="D77" t="str">
        <f ca="1">+TRIM(Tabla2[[#This Row],[Categoria]])</f>
        <v>Periféricos</v>
      </c>
      <c r="E77" t="str">
        <f ca="1">+PROPER(Tabla2[[#This Row],[Canal_Venta]])</f>
        <v>Tienda</v>
      </c>
      <c r="F77">
        <v>2</v>
      </c>
      <c r="G77" s="2">
        <v>80</v>
      </c>
      <c r="H77" s="2">
        <f>Tabla2[[#This Row],[Cantidad]]*Tabla2[[#This Row],[Precio_Unitario]]</f>
        <v>160</v>
      </c>
    </row>
    <row r="78" spans="1:8" x14ac:dyDescent="0.3">
      <c r="A78" s="1">
        <v>45305</v>
      </c>
      <c r="B78" t="str">
        <f ca="1">+PROPER(Tabla2[[#This Row],[Ciudad]])</f>
        <v>Ibagué</v>
      </c>
      <c r="C78" t="str">
        <f ca="1">+PROPER(Tabla2[[#This Row],[Producto]])</f>
        <v>Webcam</v>
      </c>
      <c r="D78" t="str">
        <f ca="1">+TRIM(Tabla2[[#This Row],[Categoria]])</f>
        <v>Periféricos</v>
      </c>
      <c r="E78" t="str">
        <f ca="1">+PROPER(Tabla2[[#This Row],[Canal_Venta]])</f>
        <v>Tienda</v>
      </c>
      <c r="F78">
        <v>2</v>
      </c>
      <c r="G78" s="2">
        <v>80</v>
      </c>
      <c r="H78" s="2">
        <f>Tabla2[[#This Row],[Cantidad]]*Tabla2[[#This Row],[Precio_Unitario]]</f>
        <v>160</v>
      </c>
    </row>
    <row r="79" spans="1:8" x14ac:dyDescent="0.3">
      <c r="A79" s="1">
        <v>45322</v>
      </c>
      <c r="B79" t="str">
        <f ca="1">+PROPER(Tabla2[[#This Row],[Ciudad]])</f>
        <v>Medellín</v>
      </c>
      <c r="C79" t="str">
        <f ca="1">+PROPER(Tabla2[[#This Row],[Producto]])</f>
        <v>Webcam</v>
      </c>
      <c r="D79" t="str">
        <f ca="1">+TRIM(Tabla2[[#This Row],[Categoria]])</f>
        <v>Periféréricos</v>
      </c>
      <c r="E79" t="str">
        <f ca="1">+PROPER(Tabla2[[#This Row],[Canal_Venta]])</f>
        <v>Online</v>
      </c>
      <c r="F79">
        <v>3</v>
      </c>
      <c r="G79" s="2">
        <v>80</v>
      </c>
      <c r="H79" s="2">
        <f>Tabla2[[#This Row],[Cantidad]]*Tabla2[[#This Row],[Precio_Unitario]]</f>
        <v>240</v>
      </c>
    </row>
    <row r="80" spans="1:8" x14ac:dyDescent="0.3">
      <c r="A80" s="1">
        <v>45310</v>
      </c>
      <c r="B80" t="str">
        <f ca="1">+PROPER(Tabla2[[#This Row],[Ciudad]])</f>
        <v>Ibagué</v>
      </c>
      <c r="C80" t="str">
        <f ca="1">+PROPER(Tabla2[[#This Row],[Producto]])</f>
        <v>Webcam</v>
      </c>
      <c r="D80" t="str">
        <f ca="1">+TRIM(Tabla2[[#This Row],[Categoria]])</f>
        <v>Periféricos</v>
      </c>
      <c r="E80" t="str">
        <f ca="1">+PROPER(Tabla2[[#This Row],[Canal_Venta]])</f>
        <v>Online</v>
      </c>
      <c r="F80">
        <v>4</v>
      </c>
      <c r="G80" s="2">
        <v>80</v>
      </c>
      <c r="H80" s="2">
        <f>Tabla2[[#This Row],[Cantidad]]*Tabla2[[#This Row],[Precio_Unitario]]</f>
        <v>320</v>
      </c>
    </row>
    <row r="81" spans="1:8" x14ac:dyDescent="0.3">
      <c r="A81" s="1">
        <v>45328</v>
      </c>
      <c r="B81" t="str">
        <f ca="1">+PROPER(Tabla2[[#This Row],[Ciudad]])</f>
        <v>Cali</v>
      </c>
      <c r="C81" t="str">
        <f ca="1">+PROPER(Tabla2[[#This Row],[Producto]])</f>
        <v>Webcam</v>
      </c>
      <c r="D81" t="str">
        <f ca="1">+TRIM(Tabla2[[#This Row],[Categoria]])</f>
        <v>Periféricos</v>
      </c>
      <c r="E81" t="str">
        <f ca="1">+PROPER(Tabla2[[#This Row],[Canal_Venta]])</f>
        <v>Distribuidor</v>
      </c>
      <c r="F81">
        <v>3</v>
      </c>
      <c r="G81" s="2">
        <v>80</v>
      </c>
      <c r="H81" s="2">
        <f>Tabla2[[#This Row],[Cantidad]]*Tabla2[[#This Row],[Precio_Unitario]]</f>
        <v>240</v>
      </c>
    </row>
    <row r="82" spans="1:8" x14ac:dyDescent="0.3">
      <c r="A82" s="1">
        <v>45334</v>
      </c>
      <c r="B82" t="str">
        <f ca="1">+PROPER(Tabla2[[#This Row],[Ciudad]])</f>
        <v>Barranquilla</v>
      </c>
      <c r="C82" t="str">
        <f ca="1">+PROPER(Tabla2[[#This Row],[Producto]])</f>
        <v>Webcam</v>
      </c>
      <c r="D82" t="str">
        <f ca="1">+TRIM(Tabla2[[#This Row],[Categoria]])</f>
        <v>Periféricos</v>
      </c>
      <c r="E82" t="str">
        <f ca="1">+PROPER(Tabla2[[#This Row],[Canal_Venta]])</f>
        <v>Tienda</v>
      </c>
      <c r="F82">
        <v>2</v>
      </c>
      <c r="G82" s="2">
        <v>80</v>
      </c>
      <c r="H82" s="2">
        <f>Tabla2[[#This Row],[Cantidad]]*Tabla2[[#This Row],[Precio_Unitario]]</f>
        <v>160</v>
      </c>
    </row>
    <row r="83" spans="1:8" x14ac:dyDescent="0.3">
      <c r="A83" s="1">
        <v>45305</v>
      </c>
      <c r="B83" t="str">
        <f ca="1">+PROPER(Tabla2[[#This Row],[Ciudad]])</f>
        <v xml:space="preserve">Ibagué </v>
      </c>
      <c r="C83" t="str">
        <f ca="1">+PROPER(Tabla2[[#This Row],[Producto]])</f>
        <v>Webcam</v>
      </c>
      <c r="D83" t="str">
        <f ca="1">+TRIM(Tabla2[[#This Row],[Categoria]])</f>
        <v>Periféricos</v>
      </c>
      <c r="E83" t="str">
        <f ca="1">+PROPER(Tabla2[[#This Row],[Canal_Venta]])</f>
        <v>Tienda</v>
      </c>
      <c r="F83">
        <v>2</v>
      </c>
      <c r="G83" s="2">
        <v>80</v>
      </c>
      <c r="H83" s="2">
        <f>Tabla2[[#This Row],[Cantidad]]*Tabla2[[#This Row],[Precio_Unitario]]</f>
        <v>160</v>
      </c>
    </row>
    <row r="84" spans="1:8" x14ac:dyDescent="0.3">
      <c r="A84" s="1">
        <v>45310</v>
      </c>
      <c r="B84" t="str">
        <f ca="1">+PROPER(Tabla2[[#This Row],[Ciudad]])</f>
        <v>Ibagué</v>
      </c>
      <c r="C84" t="str">
        <f ca="1">+PROPER(Tabla2[[#This Row],[Producto]])</f>
        <v>Webcam</v>
      </c>
      <c r="D84" t="str">
        <f ca="1">+TRIM(Tabla2[[#This Row],[Categoria]])</f>
        <v>Periféricos</v>
      </c>
      <c r="E84" t="str">
        <f ca="1">+PROPER(Tabla2[[#This Row],[Canal_Venta]])</f>
        <v>Online</v>
      </c>
      <c r="F84">
        <v>4</v>
      </c>
      <c r="G84" s="2">
        <v>80</v>
      </c>
      <c r="H84" s="2">
        <f>Tabla2[[#This Row],[Cantidad]]*Tabla2[[#This Row],[Precio_Unitario]]</f>
        <v>320</v>
      </c>
    </row>
    <row r="85" spans="1:8" x14ac:dyDescent="0.3">
      <c r="A85" s="1">
        <v>45340</v>
      </c>
      <c r="B85" t="str">
        <f ca="1">+PROPER(Tabla2[[#This Row],[Ciudad]])</f>
        <v>Ibagué</v>
      </c>
      <c r="C85" t="str">
        <f ca="1">+PROPER(Tabla2[[#This Row],[Producto]])</f>
        <v>Webcam</v>
      </c>
      <c r="D85" t="str">
        <f ca="1">+TRIM(Tabla2[[#This Row],[Categoria]])</f>
        <v>Periféricos</v>
      </c>
      <c r="E85" t="str">
        <f ca="1">+PROPER(Tabla2[[#This Row],[Canal_Venta]])</f>
        <v>Online</v>
      </c>
      <c r="F85">
        <v>3</v>
      </c>
      <c r="G85" s="2">
        <v>80</v>
      </c>
      <c r="H85" s="2">
        <f>Tabla2[[#This Row],[Cantidad]]*Tabla2[[#This Row],[Precio_Unitario]]</f>
        <v>240</v>
      </c>
    </row>
    <row r="86" spans="1:8" x14ac:dyDescent="0.3">
      <c r="A86" s="1">
        <v>45346</v>
      </c>
      <c r="B86" t="str">
        <f ca="1">+PROPER(Tabla2[[#This Row],[Ciudad]])</f>
        <v>Bogotá</v>
      </c>
      <c r="C86" t="str">
        <f ca="1">+PROPER(Tabla2[[#This Row],[Producto]])</f>
        <v>Webcam</v>
      </c>
      <c r="D86" t="str">
        <f ca="1">+TRIM(Tabla2[[#This Row],[Categoria]])</f>
        <v>Periféricos</v>
      </c>
      <c r="E86" t="str">
        <f ca="1">+PROPER(Tabla2[[#This Row],[Canal_Venta]])</f>
        <v>Tienda</v>
      </c>
      <c r="F86">
        <v>3</v>
      </c>
      <c r="G86" s="2">
        <v>80</v>
      </c>
      <c r="H86" s="2">
        <f>Tabla2[[#This Row],[Cantidad]]*Tabla2[[#This Row],[Precio_Unitario]]</f>
        <v>240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Arley jesus Vera portillo</dc:creator>
  <cp:lastModifiedBy>Arley jesus Vera portillo</cp:lastModifiedBy>
  <dcterms:created xsi:type="dcterms:W3CDTF">2026-03-13T18:56:20Z</dcterms:created>
  <dcterms:modified xsi:type="dcterms:W3CDTF">2026-03-13T20:47:37Z</dcterms:modified>
</cp:coreProperties>
</file>