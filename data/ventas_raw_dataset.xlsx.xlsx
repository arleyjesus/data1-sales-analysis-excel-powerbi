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ey Jesus\Documents\CV\CV_Arley_Vera-GESTIÓN Y ANÁLISIS DE INFORMACIÓN\data-analysis-projects\sales-analysis-dashboard\data\"/>
    </mc:Choice>
  </mc:AlternateContent>
  <xr:revisionPtr revIDLastSave="0" documentId="13_ncr:1_{DC2DAC3A-B158-42C4-ABEE-F1805EB196BA}" xr6:coauthVersionLast="47" xr6:coauthVersionMax="47" xr10:uidLastSave="{00000000-0000-0000-0000-000000000000}"/>
  <bookViews>
    <workbookView xWindow="-96" yWindow="0" windowWidth="11712" windowHeight="12336" xr2:uid="{A45A3FC6-F000-40E9-A920-168B39E56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</calcChain>
</file>

<file path=xl/sharedStrings.xml><?xml version="1.0" encoding="utf-8"?>
<sst xmlns="http://schemas.openxmlformats.org/spreadsheetml/2006/main" count="393" uniqueCount="38">
  <si>
    <t>Ciudad</t>
  </si>
  <si>
    <t>Fecha</t>
  </si>
  <si>
    <t>Producto</t>
  </si>
  <si>
    <t>Categoria</t>
  </si>
  <si>
    <t>Canal_Venta</t>
  </si>
  <si>
    <t>Cantidad</t>
  </si>
  <si>
    <t>Precio_Unitario</t>
  </si>
  <si>
    <t>Ventas</t>
  </si>
  <si>
    <t>Tecnología</t>
  </si>
  <si>
    <t>Accesorios</t>
  </si>
  <si>
    <t>Periféricos</t>
  </si>
  <si>
    <t>Bogotá</t>
  </si>
  <si>
    <t>Laptop</t>
  </si>
  <si>
    <t>Online</t>
  </si>
  <si>
    <t>Medellín</t>
  </si>
  <si>
    <t>Mouse</t>
  </si>
  <si>
    <t>Tienda</t>
  </si>
  <si>
    <t>Cali</t>
  </si>
  <si>
    <t>Monitor</t>
  </si>
  <si>
    <t>Distribuidor</t>
  </si>
  <si>
    <t>Barranquilla</t>
  </si>
  <si>
    <t>Teclado</t>
  </si>
  <si>
    <t>Ibagué</t>
  </si>
  <si>
    <t>Webcam</t>
  </si>
  <si>
    <t>Tablet</t>
  </si>
  <si>
    <t>Bogta</t>
  </si>
  <si>
    <t>Medellin</t>
  </si>
  <si>
    <t>Perifericos</t>
  </si>
  <si>
    <t>Barranquila</t>
  </si>
  <si>
    <t>Ibague</t>
  </si>
  <si>
    <t>Periféréricos</t>
  </si>
  <si>
    <t xml:space="preserve">Ibagué </t>
  </si>
  <si>
    <t xml:space="preserve">Medellín </t>
  </si>
  <si>
    <t xml:space="preserve"> Monitor</t>
  </si>
  <si>
    <t xml:space="preserve"> Periféricos</t>
  </si>
  <si>
    <t>TIENDA</t>
  </si>
  <si>
    <t>WeBCAM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</si>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</sst>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B3A88-8516-4EF3-8878-6F261C5579D8}" name="Tabla2" displayName="Tabla2" ref="A1:H100" totalsRowShown="0">
  <autoFilter ref="A1:H100" xr:uid="{333B3A88-8516-4EF3-8878-6F261C5579D8}"/>
  <tableColumns count="8">
    <tableColumn id="1" xr3:uid="{303A78E0-938F-4428-A2F5-E39CC193DA2D}" name="Fecha" dataDxfId="1"/>
    <tableColumn id="2" xr3:uid="{2D6E6E9D-B3DB-4F78-A29A-290938DEF048}" name="Ciudad"/>
    <tableColumn id="3" xr3:uid="{E1D000DC-EFCE-4EBF-87B6-CEF6204B859D}" name="Producto"/>
    <tableColumn id="4" xr3:uid="{3434D8A7-5040-44CF-84A7-9108A2205940}" name="Categoria"/>
    <tableColumn id="5" xr3:uid="{34B655A7-C267-4F6C-9CAE-8B762B3B16B2}" name="Canal_Venta"/>
    <tableColumn id="6" xr3:uid="{AD299501-F909-42C2-B37E-00AFB38A05D0}" name="Cantidad"/>
    <tableColumn id="7" xr3:uid="{71FC4ECA-D7A0-4E0F-8029-8370FE4013BC}" name="Precio_Unitario"/>
    <tableColumn id="8" xr3:uid="{5E603C81-F7C7-4B66-94CC-D03ACBE35C2C}" name="Ventas" dataDxfId="0">
      <calculatedColumnFormula>Tabla2[[#This Row],[Cantidad]]*Tabla2[[#This Row],[Precio_Unitario]]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C58C-7A9B-4601-9989-45FEFE86DD14}">
  <dimension ref="A1:H100"/>
  <sheetViews>
    <sheetView tabSelected="1" topLeftCell="A49" workbookViewId="0">
      <selection activeCell="C51" sqref="C51"/>
    </sheetView>
  </sheetViews>
  <sheetFormatPr baseColWidth="10" defaultRowHeight="14.4" x14ac:dyDescent="0.3"/>
  <cols>
    <col min="5" max="5" width="13.21875" customWidth="1"/>
    <col min="7" max="7" width="15.664062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45301</v>
      </c>
      <c r="B2" t="s">
        <v>11</v>
      </c>
      <c r="C2" t="s">
        <v>12</v>
      </c>
      <c r="D2" t="s">
        <v>8</v>
      </c>
      <c r="E2" t="s">
        <v>13</v>
      </c>
      <c r="F2">
        <v>2</v>
      </c>
      <c r="G2">
        <v>1200</v>
      </c>
      <c r="H2">
        <f>Tabla2[[#This Row],[Cantidad]]*Tabla2[[#This Row],[Precio_Unitario]]</f>
        <v>2400</v>
      </c>
    </row>
    <row r="3" spans="1:8" x14ac:dyDescent="0.3">
      <c r="A3" s="1">
        <v>45302</v>
      </c>
      <c r="B3" t="s">
        <v>14</v>
      </c>
      <c r="C3" t="s">
        <v>15</v>
      </c>
      <c r="D3" t="s">
        <v>9</v>
      </c>
      <c r="E3" t="s">
        <v>16</v>
      </c>
      <c r="F3">
        <v>5</v>
      </c>
      <c r="G3">
        <v>25</v>
      </c>
      <c r="H3">
        <f>Tabla2[[#This Row],[Cantidad]]*Tabla2[[#This Row],[Precio_Unitario]]</f>
        <v>125</v>
      </c>
    </row>
    <row r="4" spans="1:8" x14ac:dyDescent="0.3">
      <c r="A4" s="1">
        <v>45303</v>
      </c>
      <c r="B4" t="s">
        <v>17</v>
      </c>
      <c r="C4" t="s">
        <v>18</v>
      </c>
      <c r="D4" t="s">
        <v>10</v>
      </c>
      <c r="E4" t="s">
        <v>19</v>
      </c>
      <c r="F4">
        <v>3</v>
      </c>
      <c r="G4">
        <v>200</v>
      </c>
      <c r="H4">
        <f>Tabla2[[#This Row],[Cantidad]]*Tabla2[[#This Row],[Precio_Unitario]]</f>
        <v>600</v>
      </c>
    </row>
    <row r="5" spans="1:8" x14ac:dyDescent="0.3">
      <c r="A5" s="1">
        <v>45304</v>
      </c>
      <c r="B5" t="s">
        <v>20</v>
      </c>
      <c r="C5" t="s">
        <v>21</v>
      </c>
      <c r="D5" t="s">
        <v>9</v>
      </c>
      <c r="E5" t="s">
        <v>13</v>
      </c>
      <c r="F5">
        <v>4</v>
      </c>
      <c r="G5">
        <v>40</v>
      </c>
      <c r="H5">
        <f>Tabla2[[#This Row],[Cantidad]]*Tabla2[[#This Row],[Precio_Unitario]]</f>
        <v>160</v>
      </c>
    </row>
    <row r="6" spans="1:8" x14ac:dyDescent="0.3">
      <c r="A6" s="1">
        <v>45305</v>
      </c>
      <c r="B6" t="s">
        <v>22</v>
      </c>
      <c r="C6" t="s">
        <v>23</v>
      </c>
      <c r="D6" t="s">
        <v>10</v>
      </c>
      <c r="E6" t="s">
        <v>16</v>
      </c>
      <c r="F6">
        <v>2</v>
      </c>
      <c r="G6">
        <v>80</v>
      </c>
      <c r="H6">
        <f>Tabla2[[#This Row],[Cantidad]]*Tabla2[[#This Row],[Precio_Unitario]]</f>
        <v>160</v>
      </c>
    </row>
    <row r="7" spans="1:8" x14ac:dyDescent="0.3">
      <c r="A7" s="1">
        <v>45306</v>
      </c>
      <c r="B7" t="s">
        <v>25</v>
      </c>
      <c r="C7" t="s">
        <v>12</v>
      </c>
      <c r="D7" t="s">
        <v>8</v>
      </c>
      <c r="E7" t="s">
        <v>19</v>
      </c>
      <c r="F7">
        <v>1</v>
      </c>
      <c r="G7">
        <v>1200</v>
      </c>
      <c r="H7">
        <f>Tabla2[[#This Row],[Cantidad]]*Tabla2[[#This Row],[Precio_Unitario]]</f>
        <v>1200</v>
      </c>
    </row>
    <row r="8" spans="1:8" x14ac:dyDescent="0.3">
      <c r="A8" s="1">
        <v>45307</v>
      </c>
      <c r="B8" t="s">
        <v>26</v>
      </c>
      <c r="C8" t="s">
        <v>15</v>
      </c>
      <c r="D8" t="s">
        <v>9</v>
      </c>
      <c r="E8" t="s">
        <v>13</v>
      </c>
      <c r="F8">
        <v>7</v>
      </c>
      <c r="G8">
        <v>25</v>
      </c>
      <c r="H8">
        <f>Tabla2[[#This Row],[Cantidad]]*Tabla2[[#This Row],[Precio_Unitario]]</f>
        <v>175</v>
      </c>
    </row>
    <row r="9" spans="1:8" x14ac:dyDescent="0.3">
      <c r="A9" s="1">
        <v>45308</v>
      </c>
      <c r="B9" t="s">
        <v>17</v>
      </c>
      <c r="C9" t="s">
        <v>18</v>
      </c>
      <c r="D9" t="s">
        <v>27</v>
      </c>
      <c r="E9" t="s">
        <v>16</v>
      </c>
      <c r="F9">
        <v>2</v>
      </c>
      <c r="G9">
        <v>200</v>
      </c>
      <c r="H9">
        <f>Tabla2[[#This Row],[Cantidad]]*Tabla2[[#This Row],[Precio_Unitario]]</f>
        <v>400</v>
      </c>
    </row>
    <row r="10" spans="1:8" x14ac:dyDescent="0.3">
      <c r="A10" s="1">
        <v>45309</v>
      </c>
      <c r="B10" t="s">
        <v>28</v>
      </c>
      <c r="C10" t="s">
        <v>21</v>
      </c>
      <c r="D10" t="s">
        <v>9</v>
      </c>
      <c r="E10" t="s">
        <v>19</v>
      </c>
      <c r="F10">
        <v>3</v>
      </c>
      <c r="G10">
        <v>40</v>
      </c>
      <c r="H10">
        <f>Tabla2[[#This Row],[Cantidad]]*Tabla2[[#This Row],[Precio_Unitario]]</f>
        <v>120</v>
      </c>
    </row>
    <row r="11" spans="1:8" x14ac:dyDescent="0.3">
      <c r="A11" s="1">
        <v>45310</v>
      </c>
      <c r="B11" t="s">
        <v>29</v>
      </c>
      <c r="C11" t="s">
        <v>23</v>
      </c>
      <c r="D11" t="s">
        <v>10</v>
      </c>
      <c r="E11" t="s">
        <v>13</v>
      </c>
      <c r="F11">
        <v>4</v>
      </c>
      <c r="G11">
        <v>80</v>
      </c>
      <c r="H11">
        <f>Tabla2[[#This Row],[Cantidad]]*Tabla2[[#This Row],[Precio_Unitario]]</f>
        <v>320</v>
      </c>
    </row>
    <row r="12" spans="1:8" x14ac:dyDescent="0.3">
      <c r="A12" s="1">
        <v>45311</v>
      </c>
      <c r="B12" t="s">
        <v>11</v>
      </c>
      <c r="C12" t="s">
        <v>24</v>
      </c>
      <c r="D12" t="s">
        <v>8</v>
      </c>
      <c r="E12" t="s">
        <v>13</v>
      </c>
      <c r="F12">
        <v>3</v>
      </c>
      <c r="G12">
        <v>600</v>
      </c>
      <c r="H12">
        <f>Tabla2[[#This Row],[Cantidad]]*Tabla2[[#This Row],[Precio_Unitario]]</f>
        <v>1800</v>
      </c>
    </row>
    <row r="13" spans="1:8" x14ac:dyDescent="0.3">
      <c r="A13" s="1">
        <v>45312</v>
      </c>
      <c r="B13" t="s">
        <v>14</v>
      </c>
      <c r="C13" t="s">
        <v>12</v>
      </c>
      <c r="D13" t="s">
        <v>8</v>
      </c>
      <c r="E13" t="s">
        <v>16</v>
      </c>
      <c r="F13">
        <v>1</v>
      </c>
      <c r="G13">
        <v>1200</v>
      </c>
      <c r="H13">
        <f>Tabla2[[#This Row],[Cantidad]]*Tabla2[[#This Row],[Precio_Unitario]]</f>
        <v>1200</v>
      </c>
    </row>
    <row r="14" spans="1:8" x14ac:dyDescent="0.3">
      <c r="A14" s="1">
        <v>45313</v>
      </c>
      <c r="B14" t="s">
        <v>17</v>
      </c>
      <c r="C14" t="s">
        <v>15</v>
      </c>
      <c r="D14" t="s">
        <v>9</v>
      </c>
      <c r="E14" t="s">
        <v>19</v>
      </c>
      <c r="F14">
        <v>6</v>
      </c>
      <c r="G14">
        <v>25</v>
      </c>
      <c r="H14">
        <f>Tabla2[[#This Row],[Cantidad]]*Tabla2[[#This Row],[Precio_Unitario]]</f>
        <v>150</v>
      </c>
    </row>
    <row r="15" spans="1:8" x14ac:dyDescent="0.3">
      <c r="A15" s="1">
        <v>45314</v>
      </c>
      <c r="B15" t="s">
        <v>20</v>
      </c>
      <c r="C15" t="s">
        <v>18</v>
      </c>
      <c r="D15" t="s">
        <v>10</v>
      </c>
      <c r="E15" t="s">
        <v>13</v>
      </c>
      <c r="F15">
        <v>2</v>
      </c>
      <c r="G15">
        <v>200</v>
      </c>
      <c r="H15">
        <f>Tabla2[[#This Row],[Cantidad]]*Tabla2[[#This Row],[Precio_Unitario]]</f>
        <v>400</v>
      </c>
    </row>
    <row r="16" spans="1:8" x14ac:dyDescent="0.3">
      <c r="A16" s="1">
        <v>45315</v>
      </c>
      <c r="B16" t="s">
        <v>22</v>
      </c>
      <c r="C16" t="s">
        <v>21</v>
      </c>
      <c r="D16" t="s">
        <v>9</v>
      </c>
      <c r="E16" t="s">
        <v>16</v>
      </c>
      <c r="F16">
        <v>5</v>
      </c>
      <c r="G16">
        <v>40</v>
      </c>
      <c r="H16">
        <f>Tabla2[[#This Row],[Cantidad]]*Tabla2[[#This Row],[Precio_Unitario]]</f>
        <v>200</v>
      </c>
    </row>
    <row r="17" spans="1:8" x14ac:dyDescent="0.3">
      <c r="A17" s="1">
        <v>45316</v>
      </c>
      <c r="B17" t="s">
        <v>11</v>
      </c>
      <c r="C17" t="s">
        <v>23</v>
      </c>
      <c r="D17" t="s">
        <v>10</v>
      </c>
      <c r="E17" t="s">
        <v>13</v>
      </c>
      <c r="F17">
        <v>3</v>
      </c>
      <c r="G17">
        <v>80</v>
      </c>
      <c r="H17">
        <f>Tabla2[[#This Row],[Cantidad]]*Tabla2[[#This Row],[Precio_Unitario]]</f>
        <v>240</v>
      </c>
    </row>
    <row r="18" spans="1:8" x14ac:dyDescent="0.3">
      <c r="A18" s="1">
        <v>45317</v>
      </c>
      <c r="B18" t="s">
        <v>14</v>
      </c>
      <c r="C18" t="s">
        <v>24</v>
      </c>
      <c r="D18" t="s">
        <v>8</v>
      </c>
      <c r="E18" t="s">
        <v>19</v>
      </c>
      <c r="F18">
        <v>2</v>
      </c>
      <c r="G18">
        <v>600</v>
      </c>
      <c r="H18">
        <f>Tabla2[[#This Row],[Cantidad]]*Tabla2[[#This Row],[Precio_Unitario]]</f>
        <v>1200</v>
      </c>
    </row>
    <row r="19" spans="1:8" x14ac:dyDescent="0.3">
      <c r="A19" s="1">
        <v>45318</v>
      </c>
      <c r="B19" t="s">
        <v>17</v>
      </c>
      <c r="C19" t="s">
        <v>12</v>
      </c>
      <c r="D19" t="s">
        <v>8</v>
      </c>
      <c r="E19" t="s">
        <v>16</v>
      </c>
      <c r="F19">
        <v>1</v>
      </c>
      <c r="G19">
        <v>1200</v>
      </c>
      <c r="H19">
        <f>Tabla2[[#This Row],[Cantidad]]*Tabla2[[#This Row],[Precio_Unitario]]</f>
        <v>1200</v>
      </c>
    </row>
    <row r="20" spans="1:8" x14ac:dyDescent="0.3">
      <c r="A20" s="1">
        <v>45319</v>
      </c>
      <c r="B20" t="s">
        <v>20</v>
      </c>
      <c r="C20" t="s">
        <v>15</v>
      </c>
      <c r="D20" t="s">
        <v>9</v>
      </c>
      <c r="E20" t="s">
        <v>13</v>
      </c>
      <c r="F20">
        <v>8</v>
      </c>
      <c r="G20">
        <v>25</v>
      </c>
      <c r="H20">
        <f>Tabla2[[#This Row],[Cantidad]]*Tabla2[[#This Row],[Precio_Unitario]]</f>
        <v>200</v>
      </c>
    </row>
    <row r="21" spans="1:8" x14ac:dyDescent="0.3">
      <c r="A21" s="1">
        <v>45320</v>
      </c>
      <c r="B21" t="s">
        <v>22</v>
      </c>
      <c r="C21" t="s">
        <v>18</v>
      </c>
      <c r="D21" t="s">
        <v>10</v>
      </c>
      <c r="E21" t="s">
        <v>16</v>
      </c>
      <c r="F21">
        <v>2</v>
      </c>
      <c r="G21">
        <v>200</v>
      </c>
      <c r="H21">
        <f>Tabla2[[#This Row],[Cantidad]]*Tabla2[[#This Row],[Precio_Unitario]]</f>
        <v>400</v>
      </c>
    </row>
    <row r="22" spans="1:8" x14ac:dyDescent="0.3">
      <c r="A22" s="1">
        <v>45321</v>
      </c>
      <c r="B22" t="s">
        <v>11</v>
      </c>
      <c r="C22" t="s">
        <v>21</v>
      </c>
      <c r="D22" t="s">
        <v>9</v>
      </c>
      <c r="E22" t="s">
        <v>19</v>
      </c>
      <c r="F22">
        <v>4</v>
      </c>
      <c r="G22">
        <v>40</v>
      </c>
      <c r="H22">
        <f>Tabla2[[#This Row],[Cantidad]]*Tabla2[[#This Row],[Precio_Unitario]]</f>
        <v>160</v>
      </c>
    </row>
    <row r="23" spans="1:8" x14ac:dyDescent="0.3">
      <c r="A23" s="1">
        <v>45322</v>
      </c>
      <c r="B23" t="s">
        <v>14</v>
      </c>
      <c r="C23" t="s">
        <v>23</v>
      </c>
      <c r="D23" t="s">
        <v>30</v>
      </c>
      <c r="E23" t="s">
        <v>13</v>
      </c>
      <c r="F23">
        <v>3</v>
      </c>
      <c r="G23">
        <v>80</v>
      </c>
      <c r="H23">
        <f>Tabla2[[#This Row],[Cantidad]]*Tabla2[[#This Row],[Precio_Unitario]]</f>
        <v>240</v>
      </c>
    </row>
    <row r="24" spans="1:8" x14ac:dyDescent="0.3">
      <c r="A24" s="1">
        <v>45323</v>
      </c>
      <c r="B24" t="s">
        <v>17</v>
      </c>
      <c r="C24" t="s">
        <v>24</v>
      </c>
      <c r="D24" t="s">
        <v>8</v>
      </c>
      <c r="E24" t="s">
        <v>16</v>
      </c>
      <c r="F24">
        <v>2</v>
      </c>
      <c r="G24">
        <v>600</v>
      </c>
      <c r="H24">
        <f>Tabla2[[#This Row],[Cantidad]]*Tabla2[[#This Row],[Precio_Unitario]]</f>
        <v>1200</v>
      </c>
    </row>
    <row r="25" spans="1:8" x14ac:dyDescent="0.3">
      <c r="A25" s="1">
        <v>45324</v>
      </c>
      <c r="B25" t="s">
        <v>20</v>
      </c>
      <c r="C25" t="s">
        <v>12</v>
      </c>
      <c r="D25" t="s">
        <v>8</v>
      </c>
      <c r="E25" t="s">
        <v>19</v>
      </c>
      <c r="F25">
        <v>1</v>
      </c>
      <c r="G25">
        <v>1200</v>
      </c>
      <c r="H25">
        <f>Tabla2[[#This Row],[Cantidad]]*Tabla2[[#This Row],[Precio_Unitario]]</f>
        <v>1200</v>
      </c>
    </row>
    <row r="26" spans="1:8" x14ac:dyDescent="0.3">
      <c r="A26" s="1">
        <v>45325</v>
      </c>
      <c r="B26" t="s">
        <v>22</v>
      </c>
      <c r="C26" t="s">
        <v>15</v>
      </c>
      <c r="D26" t="s">
        <v>9</v>
      </c>
      <c r="E26" t="s">
        <v>13</v>
      </c>
      <c r="F26">
        <v>6</v>
      </c>
      <c r="G26">
        <v>25</v>
      </c>
      <c r="H26">
        <f>Tabla2[[#This Row],[Cantidad]]*Tabla2[[#This Row],[Precio_Unitario]]</f>
        <v>150</v>
      </c>
    </row>
    <row r="27" spans="1:8" x14ac:dyDescent="0.3">
      <c r="A27" s="1">
        <v>45326</v>
      </c>
      <c r="B27" t="s">
        <v>11</v>
      </c>
      <c r="C27" t="s">
        <v>18</v>
      </c>
      <c r="D27" t="s">
        <v>10</v>
      </c>
      <c r="E27" t="s">
        <v>16</v>
      </c>
      <c r="F27">
        <v>2</v>
      </c>
      <c r="G27">
        <v>200</v>
      </c>
      <c r="H27">
        <f>Tabla2[[#This Row],[Cantidad]]*Tabla2[[#This Row],[Precio_Unitario]]</f>
        <v>400</v>
      </c>
    </row>
    <row r="28" spans="1:8" x14ac:dyDescent="0.3">
      <c r="A28" s="1">
        <v>45327</v>
      </c>
      <c r="B28" t="s">
        <v>14</v>
      </c>
      <c r="C28" t="s">
        <v>21</v>
      </c>
      <c r="D28" t="s">
        <v>9</v>
      </c>
      <c r="E28" t="s">
        <v>13</v>
      </c>
      <c r="F28">
        <v>4</v>
      </c>
      <c r="G28">
        <v>40</v>
      </c>
      <c r="H28">
        <f>Tabla2[[#This Row],[Cantidad]]*Tabla2[[#This Row],[Precio_Unitario]]</f>
        <v>160</v>
      </c>
    </row>
    <row r="29" spans="1:8" x14ac:dyDescent="0.3">
      <c r="A29" s="1">
        <v>45328</v>
      </c>
      <c r="B29" t="s">
        <v>17</v>
      </c>
      <c r="C29" t="s">
        <v>23</v>
      </c>
      <c r="D29" t="s">
        <v>10</v>
      </c>
      <c r="E29" t="s">
        <v>19</v>
      </c>
      <c r="F29">
        <v>3</v>
      </c>
      <c r="G29">
        <v>80</v>
      </c>
      <c r="H29">
        <f>Tabla2[[#This Row],[Cantidad]]*Tabla2[[#This Row],[Precio_Unitario]]</f>
        <v>240</v>
      </c>
    </row>
    <row r="30" spans="1:8" x14ac:dyDescent="0.3">
      <c r="A30" s="1">
        <v>45329</v>
      </c>
      <c r="B30" t="s">
        <v>20</v>
      </c>
      <c r="C30" t="s">
        <v>24</v>
      </c>
      <c r="D30" t="s">
        <v>8</v>
      </c>
      <c r="E30" t="s">
        <v>16</v>
      </c>
      <c r="F30">
        <v>2</v>
      </c>
      <c r="G30">
        <v>600</v>
      </c>
      <c r="H30">
        <f>Tabla2[[#This Row],[Cantidad]]*Tabla2[[#This Row],[Precio_Unitario]]</f>
        <v>1200</v>
      </c>
    </row>
    <row r="31" spans="1:8" x14ac:dyDescent="0.3">
      <c r="A31" s="1">
        <v>45330</v>
      </c>
      <c r="B31" t="s">
        <v>22</v>
      </c>
      <c r="C31" t="s">
        <v>12</v>
      </c>
      <c r="D31" t="s">
        <v>8</v>
      </c>
      <c r="E31" t="s">
        <v>13</v>
      </c>
      <c r="F31">
        <v>1</v>
      </c>
      <c r="G31">
        <v>1200</v>
      </c>
      <c r="H31">
        <f>Tabla2[[#This Row],[Cantidad]]*Tabla2[[#This Row],[Precio_Unitario]]</f>
        <v>1200</v>
      </c>
    </row>
    <row r="32" spans="1:8" x14ac:dyDescent="0.3">
      <c r="A32" s="1">
        <v>45331</v>
      </c>
      <c r="B32" t="s">
        <v>11</v>
      </c>
      <c r="C32" t="s">
        <v>15</v>
      </c>
      <c r="D32" t="s">
        <v>9</v>
      </c>
      <c r="E32" t="s">
        <v>19</v>
      </c>
      <c r="F32">
        <v>5</v>
      </c>
      <c r="G32">
        <v>25</v>
      </c>
      <c r="H32">
        <f>Tabla2[[#This Row],[Cantidad]]*Tabla2[[#This Row],[Precio_Unitario]]</f>
        <v>125</v>
      </c>
    </row>
    <row r="33" spans="1:8" x14ac:dyDescent="0.3">
      <c r="A33" s="1">
        <v>45332</v>
      </c>
      <c r="B33" t="s">
        <v>14</v>
      </c>
      <c r="C33" t="s">
        <v>18</v>
      </c>
      <c r="D33" t="s">
        <v>10</v>
      </c>
      <c r="E33" t="s">
        <v>16</v>
      </c>
      <c r="F33">
        <v>3</v>
      </c>
      <c r="G33">
        <v>200</v>
      </c>
      <c r="H33">
        <f>Tabla2[[#This Row],[Cantidad]]*Tabla2[[#This Row],[Precio_Unitario]]</f>
        <v>600</v>
      </c>
    </row>
    <row r="34" spans="1:8" x14ac:dyDescent="0.3">
      <c r="A34" s="1">
        <v>45333</v>
      </c>
      <c r="B34" t="s">
        <v>17</v>
      </c>
      <c r="C34" t="s">
        <v>21</v>
      </c>
      <c r="D34" t="s">
        <v>9</v>
      </c>
      <c r="E34" t="s">
        <v>13</v>
      </c>
      <c r="F34">
        <v>4</v>
      </c>
      <c r="G34">
        <v>40</v>
      </c>
      <c r="H34">
        <f>Tabla2[[#This Row],[Cantidad]]*Tabla2[[#This Row],[Precio_Unitario]]</f>
        <v>160</v>
      </c>
    </row>
    <row r="35" spans="1:8" x14ac:dyDescent="0.3">
      <c r="A35" s="1">
        <v>45334</v>
      </c>
      <c r="B35" t="s">
        <v>20</v>
      </c>
      <c r="C35" t="s">
        <v>23</v>
      </c>
      <c r="D35" t="s">
        <v>10</v>
      </c>
      <c r="E35" t="s">
        <v>16</v>
      </c>
      <c r="F35">
        <v>2</v>
      </c>
      <c r="G35">
        <v>80</v>
      </c>
      <c r="H35">
        <f>Tabla2[[#This Row],[Cantidad]]*Tabla2[[#This Row],[Precio_Unitario]]</f>
        <v>160</v>
      </c>
    </row>
    <row r="36" spans="1:8" x14ac:dyDescent="0.3">
      <c r="A36" s="1">
        <v>45335</v>
      </c>
      <c r="B36" t="s">
        <v>22</v>
      </c>
      <c r="C36" t="s">
        <v>24</v>
      </c>
      <c r="D36" t="s">
        <v>8</v>
      </c>
      <c r="E36" t="s">
        <v>13</v>
      </c>
      <c r="F36">
        <v>3</v>
      </c>
      <c r="G36">
        <v>600</v>
      </c>
      <c r="H36">
        <f>Tabla2[[#This Row],[Cantidad]]*Tabla2[[#This Row],[Precio_Unitario]]</f>
        <v>1800</v>
      </c>
    </row>
    <row r="37" spans="1:8" x14ac:dyDescent="0.3">
      <c r="A37" s="1">
        <v>45336</v>
      </c>
      <c r="B37" t="s">
        <v>11</v>
      </c>
      <c r="C37" t="s">
        <v>12</v>
      </c>
      <c r="D37" t="s">
        <v>8</v>
      </c>
      <c r="E37" t="s">
        <v>16</v>
      </c>
      <c r="F37">
        <v>2</v>
      </c>
      <c r="G37">
        <v>1200</v>
      </c>
      <c r="H37">
        <f>Tabla2[[#This Row],[Cantidad]]*Tabla2[[#This Row],[Precio_Unitario]]</f>
        <v>2400</v>
      </c>
    </row>
    <row r="38" spans="1:8" x14ac:dyDescent="0.3">
      <c r="A38" s="1">
        <v>45337</v>
      </c>
      <c r="B38" t="s">
        <v>14</v>
      </c>
      <c r="C38" t="s">
        <v>15</v>
      </c>
      <c r="D38" t="s">
        <v>9</v>
      </c>
      <c r="E38" t="s">
        <v>13</v>
      </c>
      <c r="F38">
        <v>7</v>
      </c>
      <c r="G38">
        <v>25</v>
      </c>
      <c r="H38">
        <f>Tabla2[[#This Row],[Cantidad]]*Tabla2[[#This Row],[Precio_Unitario]]</f>
        <v>175</v>
      </c>
    </row>
    <row r="39" spans="1:8" x14ac:dyDescent="0.3">
      <c r="A39" s="1">
        <v>45338</v>
      </c>
      <c r="B39" t="s">
        <v>17</v>
      </c>
      <c r="C39" t="s">
        <v>18</v>
      </c>
      <c r="D39" t="s">
        <v>10</v>
      </c>
      <c r="E39" t="s">
        <v>19</v>
      </c>
      <c r="F39">
        <v>2</v>
      </c>
      <c r="G39">
        <v>200</v>
      </c>
      <c r="H39">
        <f>Tabla2[[#This Row],[Cantidad]]*Tabla2[[#This Row],[Precio_Unitario]]</f>
        <v>400</v>
      </c>
    </row>
    <row r="40" spans="1:8" x14ac:dyDescent="0.3">
      <c r="A40" s="1">
        <v>45339</v>
      </c>
      <c r="B40" t="s">
        <v>20</v>
      </c>
      <c r="C40" t="s">
        <v>21</v>
      </c>
      <c r="D40" t="s">
        <v>9</v>
      </c>
      <c r="E40" t="s">
        <v>16</v>
      </c>
      <c r="F40">
        <v>5</v>
      </c>
      <c r="G40">
        <v>40</v>
      </c>
      <c r="H40">
        <f>Tabla2[[#This Row],[Cantidad]]*Tabla2[[#This Row],[Precio_Unitario]]</f>
        <v>200</v>
      </c>
    </row>
    <row r="41" spans="1:8" x14ac:dyDescent="0.3">
      <c r="A41" s="1">
        <v>45340</v>
      </c>
      <c r="B41" t="s">
        <v>22</v>
      </c>
      <c r="C41" t="s">
        <v>23</v>
      </c>
      <c r="D41" t="s">
        <v>10</v>
      </c>
      <c r="E41" t="s">
        <v>13</v>
      </c>
      <c r="G41">
        <v>80</v>
      </c>
      <c r="H41">
        <f>Tabla2[[#This Row],[Cantidad]]*Tabla2[[#This Row],[Precio_Unitario]]</f>
        <v>0</v>
      </c>
    </row>
    <row r="42" spans="1:8" x14ac:dyDescent="0.3">
      <c r="A42" s="1">
        <v>45341</v>
      </c>
      <c r="B42" t="s">
        <v>11</v>
      </c>
      <c r="C42" t="s">
        <v>24</v>
      </c>
      <c r="D42" t="s">
        <v>8</v>
      </c>
      <c r="E42" t="s">
        <v>19</v>
      </c>
      <c r="F42">
        <v>2</v>
      </c>
      <c r="G42">
        <v>600</v>
      </c>
      <c r="H42">
        <f>Tabla2[[#This Row],[Cantidad]]*Tabla2[[#This Row],[Precio_Unitario]]</f>
        <v>1200</v>
      </c>
    </row>
    <row r="43" spans="1:8" x14ac:dyDescent="0.3">
      <c r="A43" s="1">
        <v>45342</v>
      </c>
      <c r="B43" t="s">
        <v>14</v>
      </c>
      <c r="C43" t="s">
        <v>12</v>
      </c>
      <c r="D43" t="s">
        <v>8</v>
      </c>
      <c r="E43" t="s">
        <v>13</v>
      </c>
      <c r="F43">
        <v>1</v>
      </c>
      <c r="G43">
        <v>1200</v>
      </c>
      <c r="H43">
        <f>Tabla2[[#This Row],[Cantidad]]*Tabla2[[#This Row],[Precio_Unitario]]</f>
        <v>1200</v>
      </c>
    </row>
    <row r="44" spans="1:8" x14ac:dyDescent="0.3">
      <c r="A44" s="1">
        <v>45343</v>
      </c>
      <c r="B44" t="s">
        <v>17</v>
      </c>
      <c r="C44" t="s">
        <v>15</v>
      </c>
      <c r="D44" t="s">
        <v>9</v>
      </c>
      <c r="E44" t="s">
        <v>16</v>
      </c>
      <c r="F44">
        <v>6</v>
      </c>
      <c r="G44">
        <v>25</v>
      </c>
      <c r="H44">
        <f>Tabla2[[#This Row],[Cantidad]]*Tabla2[[#This Row],[Precio_Unitario]]</f>
        <v>150</v>
      </c>
    </row>
    <row r="45" spans="1:8" x14ac:dyDescent="0.3">
      <c r="A45" s="1">
        <v>45344</v>
      </c>
      <c r="B45" t="s">
        <v>20</v>
      </c>
      <c r="C45" t="s">
        <v>18</v>
      </c>
      <c r="D45" t="s">
        <v>10</v>
      </c>
      <c r="E45" t="s">
        <v>13</v>
      </c>
      <c r="F45">
        <v>2</v>
      </c>
      <c r="G45">
        <v>200</v>
      </c>
      <c r="H45">
        <f>Tabla2[[#This Row],[Cantidad]]*Tabla2[[#This Row],[Precio_Unitario]]</f>
        <v>400</v>
      </c>
    </row>
    <row r="46" spans="1:8" x14ac:dyDescent="0.3">
      <c r="A46" s="1">
        <v>45345</v>
      </c>
      <c r="B46" t="s">
        <v>22</v>
      </c>
      <c r="C46" t="s">
        <v>21</v>
      </c>
      <c r="D46" t="s">
        <v>9</v>
      </c>
      <c r="E46" t="s">
        <v>19</v>
      </c>
      <c r="F46">
        <v>4</v>
      </c>
      <c r="G46">
        <v>40</v>
      </c>
      <c r="H46">
        <f>Tabla2[[#This Row],[Cantidad]]*Tabla2[[#This Row],[Precio_Unitario]]</f>
        <v>160</v>
      </c>
    </row>
    <row r="47" spans="1:8" x14ac:dyDescent="0.3">
      <c r="A47" s="1">
        <v>45346</v>
      </c>
      <c r="B47" t="s">
        <v>11</v>
      </c>
      <c r="C47" t="s">
        <v>23</v>
      </c>
      <c r="D47" t="s">
        <v>10</v>
      </c>
      <c r="E47" t="s">
        <v>16</v>
      </c>
      <c r="G47">
        <v>80</v>
      </c>
      <c r="H47">
        <f>Tabla2[[#This Row],[Cantidad]]*Tabla2[[#This Row],[Precio_Unitario]]</f>
        <v>0</v>
      </c>
    </row>
    <row r="48" spans="1:8" x14ac:dyDescent="0.3">
      <c r="A48" s="1">
        <v>45347</v>
      </c>
      <c r="B48" t="s">
        <v>14</v>
      </c>
      <c r="C48" t="s">
        <v>24</v>
      </c>
      <c r="D48" t="s">
        <v>8</v>
      </c>
      <c r="E48" t="s">
        <v>13</v>
      </c>
      <c r="F48">
        <v>2</v>
      </c>
      <c r="G48">
        <v>600</v>
      </c>
      <c r="H48">
        <f>Tabla2[[#This Row],[Cantidad]]*Tabla2[[#This Row],[Precio_Unitario]]</f>
        <v>1200</v>
      </c>
    </row>
    <row r="49" spans="1:8" x14ac:dyDescent="0.3">
      <c r="A49" s="1">
        <v>45348</v>
      </c>
      <c r="B49" t="s">
        <v>37</v>
      </c>
      <c r="C49" t="s">
        <v>12</v>
      </c>
      <c r="D49" t="s">
        <v>8</v>
      </c>
      <c r="E49" t="s">
        <v>19</v>
      </c>
      <c r="F49">
        <v>1</v>
      </c>
      <c r="G49">
        <v>1200</v>
      </c>
      <c r="H49">
        <f>Tabla2[[#This Row],[Cantidad]]*Tabla2[[#This Row],[Precio_Unitario]]</f>
        <v>1200</v>
      </c>
    </row>
    <row r="50" spans="1:8" x14ac:dyDescent="0.3">
      <c r="A50" s="1">
        <v>45349</v>
      </c>
      <c r="B50" t="s">
        <v>20</v>
      </c>
      <c r="C50" t="s">
        <v>15</v>
      </c>
      <c r="D50" t="s">
        <v>9</v>
      </c>
      <c r="E50" t="s">
        <v>16</v>
      </c>
      <c r="F50">
        <v>5</v>
      </c>
      <c r="G50">
        <v>25</v>
      </c>
      <c r="H50">
        <f>Tabla2[[#This Row],[Cantidad]]*Tabla2[[#This Row],[Precio_Unitario]]</f>
        <v>125</v>
      </c>
    </row>
    <row r="51" spans="1:8" x14ac:dyDescent="0.3">
      <c r="A51" s="1">
        <v>45350</v>
      </c>
      <c r="B51" t="s">
        <v>22</v>
      </c>
      <c r="C51" t="s">
        <v>10</v>
      </c>
      <c r="D51" t="s">
        <v>18</v>
      </c>
      <c r="E51" t="s">
        <v>13</v>
      </c>
      <c r="F51">
        <v>2</v>
      </c>
      <c r="G51">
        <v>200</v>
      </c>
      <c r="H51">
        <f>Tabla2[[#This Row],[Cantidad]]*Tabla2[[#This Row],[Precio_Unitario]]</f>
        <v>400</v>
      </c>
    </row>
    <row r="52" spans="1:8" x14ac:dyDescent="0.3">
      <c r="A52" s="1">
        <v>45301</v>
      </c>
      <c r="B52" t="s">
        <v>11</v>
      </c>
      <c r="C52" t="s">
        <v>12</v>
      </c>
      <c r="D52" t="s">
        <v>8</v>
      </c>
      <c r="E52" t="s">
        <v>13</v>
      </c>
      <c r="F52">
        <v>2</v>
      </c>
      <c r="G52">
        <v>1200</v>
      </c>
      <c r="H52">
        <f>Tabla2[[#This Row],[Cantidad]]*Tabla2[[#This Row],[Precio_Unitario]]</f>
        <v>2400</v>
      </c>
    </row>
    <row r="53" spans="1:8" x14ac:dyDescent="0.3">
      <c r="A53" s="1">
        <v>45302</v>
      </c>
      <c r="B53" t="s">
        <v>14</v>
      </c>
      <c r="C53" t="s">
        <v>15</v>
      </c>
      <c r="D53" t="s">
        <v>9</v>
      </c>
      <c r="E53" t="s">
        <v>16</v>
      </c>
      <c r="F53">
        <v>5</v>
      </c>
      <c r="G53">
        <v>25</v>
      </c>
      <c r="H53">
        <f>Tabla2[[#This Row],[Cantidad]]*Tabla2[[#This Row],[Precio_Unitario]]</f>
        <v>125</v>
      </c>
    </row>
    <row r="54" spans="1:8" x14ac:dyDescent="0.3">
      <c r="A54" s="1">
        <v>45303</v>
      </c>
      <c r="B54" t="s">
        <v>17</v>
      </c>
      <c r="C54" t="s">
        <v>18</v>
      </c>
      <c r="D54" t="s">
        <v>10</v>
      </c>
      <c r="E54" t="s">
        <v>19</v>
      </c>
      <c r="F54">
        <v>3</v>
      </c>
      <c r="G54">
        <v>200</v>
      </c>
      <c r="H54">
        <f>Tabla2[[#This Row],[Cantidad]]*Tabla2[[#This Row],[Precio_Unitario]]</f>
        <v>600</v>
      </c>
    </row>
    <row r="55" spans="1:8" x14ac:dyDescent="0.3">
      <c r="A55" s="1">
        <v>45304</v>
      </c>
      <c r="B55" t="s">
        <v>20</v>
      </c>
      <c r="C55" t="s">
        <v>21</v>
      </c>
      <c r="D55" t="s">
        <v>9</v>
      </c>
      <c r="E55" t="s">
        <v>13</v>
      </c>
      <c r="F55">
        <v>4</v>
      </c>
      <c r="G55">
        <v>40</v>
      </c>
      <c r="H55">
        <f>Tabla2[[#This Row],[Cantidad]]*Tabla2[[#This Row],[Precio_Unitario]]</f>
        <v>160</v>
      </c>
    </row>
    <row r="56" spans="1:8" x14ac:dyDescent="0.3">
      <c r="A56" s="1">
        <v>45305</v>
      </c>
      <c r="B56" t="s">
        <v>31</v>
      </c>
      <c r="C56" t="s">
        <v>23</v>
      </c>
      <c r="D56" t="s">
        <v>10</v>
      </c>
      <c r="E56" t="s">
        <v>16</v>
      </c>
      <c r="F56">
        <v>2</v>
      </c>
      <c r="G56">
        <v>80</v>
      </c>
      <c r="H56">
        <f>Tabla2[[#This Row],[Cantidad]]*Tabla2[[#This Row],[Precio_Unitario]]</f>
        <v>160</v>
      </c>
    </row>
    <row r="57" spans="1:8" x14ac:dyDescent="0.3">
      <c r="A57" s="1">
        <v>45306</v>
      </c>
      <c r="B57" t="s">
        <v>25</v>
      </c>
      <c r="C57" t="s">
        <v>12</v>
      </c>
      <c r="D57" t="s">
        <v>8</v>
      </c>
      <c r="E57" t="s">
        <v>19</v>
      </c>
      <c r="F57">
        <v>1</v>
      </c>
      <c r="G57">
        <v>1200</v>
      </c>
      <c r="H57">
        <f>Tabla2[[#This Row],[Cantidad]]*Tabla2[[#This Row],[Precio_Unitario]]</f>
        <v>1200</v>
      </c>
    </row>
    <row r="58" spans="1:8" x14ac:dyDescent="0.3">
      <c r="A58" s="1">
        <v>45307</v>
      </c>
      <c r="B58" t="s">
        <v>26</v>
      </c>
      <c r="C58" t="s">
        <v>15</v>
      </c>
      <c r="D58" t="s">
        <v>9</v>
      </c>
      <c r="E58" t="s">
        <v>13</v>
      </c>
      <c r="G58">
        <v>25</v>
      </c>
      <c r="H58">
        <f>Tabla2[[#This Row],[Cantidad]]*Tabla2[[#This Row],[Precio_Unitario]]</f>
        <v>0</v>
      </c>
    </row>
    <row r="59" spans="1:8" x14ac:dyDescent="0.3">
      <c r="A59" s="1">
        <v>45308</v>
      </c>
      <c r="B59" t="s">
        <v>17</v>
      </c>
      <c r="C59" t="s">
        <v>18</v>
      </c>
      <c r="D59" t="s">
        <v>27</v>
      </c>
      <c r="E59" t="s">
        <v>16</v>
      </c>
      <c r="F59">
        <v>2</v>
      </c>
      <c r="G59">
        <v>200</v>
      </c>
      <c r="H59">
        <f>Tabla2[[#This Row],[Cantidad]]*Tabla2[[#This Row],[Precio_Unitario]]</f>
        <v>400</v>
      </c>
    </row>
    <row r="60" spans="1:8" x14ac:dyDescent="0.3">
      <c r="A60" s="1">
        <v>45309</v>
      </c>
      <c r="B60" t="s">
        <v>28</v>
      </c>
      <c r="D60" t="s">
        <v>9</v>
      </c>
      <c r="E60" t="s">
        <v>19</v>
      </c>
      <c r="F60">
        <v>3</v>
      </c>
      <c r="G60">
        <v>40</v>
      </c>
      <c r="H60">
        <f>Tabla2[[#This Row],[Cantidad]]*Tabla2[[#This Row],[Precio_Unitario]]</f>
        <v>120</v>
      </c>
    </row>
    <row r="61" spans="1:8" x14ac:dyDescent="0.3">
      <c r="A61" s="1">
        <v>45310</v>
      </c>
      <c r="B61" t="s">
        <v>29</v>
      </c>
      <c r="C61" t="s">
        <v>23</v>
      </c>
      <c r="D61" t="s">
        <v>10</v>
      </c>
      <c r="E61" t="s">
        <v>13</v>
      </c>
      <c r="F61">
        <v>4</v>
      </c>
      <c r="G61">
        <v>80</v>
      </c>
      <c r="H61">
        <f>Tabla2[[#This Row],[Cantidad]]*Tabla2[[#This Row],[Precio_Unitario]]</f>
        <v>320</v>
      </c>
    </row>
    <row r="62" spans="1:8" x14ac:dyDescent="0.3">
      <c r="A62" s="1">
        <v>45311</v>
      </c>
      <c r="B62" t="s">
        <v>11</v>
      </c>
      <c r="C62" t="s">
        <v>24</v>
      </c>
      <c r="E62" t="s">
        <v>13</v>
      </c>
      <c r="F62">
        <v>3</v>
      </c>
      <c r="G62">
        <v>600</v>
      </c>
      <c r="H62">
        <f>Tabla2[[#This Row],[Cantidad]]*Tabla2[[#This Row],[Precio_Unitario]]</f>
        <v>1800</v>
      </c>
    </row>
    <row r="63" spans="1:8" x14ac:dyDescent="0.3">
      <c r="A63" s="1">
        <v>45312</v>
      </c>
      <c r="B63" t="s">
        <v>14</v>
      </c>
      <c r="C63" t="s">
        <v>12</v>
      </c>
      <c r="D63" t="s">
        <v>8</v>
      </c>
      <c r="E63" t="s">
        <v>16</v>
      </c>
      <c r="F63">
        <v>1</v>
      </c>
      <c r="G63">
        <v>1200</v>
      </c>
      <c r="H63">
        <f>Tabla2[[#This Row],[Cantidad]]*Tabla2[[#This Row],[Precio_Unitario]]</f>
        <v>1200</v>
      </c>
    </row>
    <row r="64" spans="1:8" x14ac:dyDescent="0.3">
      <c r="A64" s="1">
        <v>45313</v>
      </c>
      <c r="B64" t="s">
        <v>17</v>
      </c>
      <c r="C64" t="s">
        <v>15</v>
      </c>
      <c r="D64" t="s">
        <v>9</v>
      </c>
      <c r="E64" t="s">
        <v>19</v>
      </c>
      <c r="F64">
        <v>6</v>
      </c>
      <c r="G64">
        <v>25</v>
      </c>
      <c r="H64">
        <f>Tabla2[[#This Row],[Cantidad]]*Tabla2[[#This Row],[Precio_Unitario]]</f>
        <v>150</v>
      </c>
    </row>
    <row r="65" spans="1:8" x14ac:dyDescent="0.3">
      <c r="A65" s="1">
        <v>45314</v>
      </c>
      <c r="B65" t="s">
        <v>20</v>
      </c>
      <c r="C65" t="s">
        <v>18</v>
      </c>
      <c r="D65" t="s">
        <v>10</v>
      </c>
      <c r="E65" t="s">
        <v>13</v>
      </c>
      <c r="F65">
        <v>2</v>
      </c>
      <c r="G65">
        <v>200</v>
      </c>
      <c r="H65">
        <f>Tabla2[[#This Row],[Cantidad]]*Tabla2[[#This Row],[Precio_Unitario]]</f>
        <v>400</v>
      </c>
    </row>
    <row r="66" spans="1:8" x14ac:dyDescent="0.3">
      <c r="A66" s="1">
        <v>45315</v>
      </c>
      <c r="B66" t="s">
        <v>22</v>
      </c>
      <c r="C66" t="s">
        <v>21</v>
      </c>
      <c r="D66" t="s">
        <v>9</v>
      </c>
      <c r="E66" t="s">
        <v>16</v>
      </c>
      <c r="F66">
        <v>5</v>
      </c>
      <c r="G66">
        <v>40</v>
      </c>
      <c r="H66">
        <f>Tabla2[[#This Row],[Cantidad]]*Tabla2[[#This Row],[Precio_Unitario]]</f>
        <v>200</v>
      </c>
    </row>
    <row r="67" spans="1:8" x14ac:dyDescent="0.3">
      <c r="A67" s="1">
        <v>45316</v>
      </c>
      <c r="B67" t="s">
        <v>11</v>
      </c>
      <c r="E67" t="s">
        <v>13</v>
      </c>
      <c r="F67">
        <v>3</v>
      </c>
      <c r="G67">
        <v>80</v>
      </c>
      <c r="H67">
        <f>Tabla2[[#This Row],[Cantidad]]*Tabla2[[#This Row],[Precio_Unitario]]</f>
        <v>240</v>
      </c>
    </row>
    <row r="68" spans="1:8" x14ac:dyDescent="0.3">
      <c r="A68" s="1">
        <v>45317</v>
      </c>
      <c r="B68" t="s">
        <v>32</v>
      </c>
      <c r="C68" t="s">
        <v>24</v>
      </c>
      <c r="D68" t="s">
        <v>8</v>
      </c>
      <c r="E68" t="s">
        <v>19</v>
      </c>
      <c r="F68">
        <v>2</v>
      </c>
      <c r="G68">
        <v>600</v>
      </c>
      <c r="H68">
        <f>Tabla2[[#This Row],[Cantidad]]*Tabla2[[#This Row],[Precio_Unitario]]</f>
        <v>1200</v>
      </c>
    </row>
    <row r="69" spans="1:8" x14ac:dyDescent="0.3">
      <c r="A69" s="1">
        <v>45318</v>
      </c>
      <c r="B69" t="s">
        <v>17</v>
      </c>
      <c r="C69" t="s">
        <v>12</v>
      </c>
      <c r="D69" t="s">
        <v>8</v>
      </c>
      <c r="E69" t="s">
        <v>16</v>
      </c>
      <c r="G69">
        <v>1200</v>
      </c>
      <c r="H69">
        <f>Tabla2[[#This Row],[Cantidad]]*Tabla2[[#This Row],[Precio_Unitario]]</f>
        <v>0</v>
      </c>
    </row>
    <row r="70" spans="1:8" x14ac:dyDescent="0.3">
      <c r="A70" s="1">
        <v>45319</v>
      </c>
      <c r="B70" t="s">
        <v>20</v>
      </c>
      <c r="C70" t="s">
        <v>15</v>
      </c>
      <c r="D70" t="s">
        <v>9</v>
      </c>
      <c r="E70" t="s">
        <v>13</v>
      </c>
      <c r="F70">
        <v>8</v>
      </c>
      <c r="G70">
        <v>25</v>
      </c>
      <c r="H70">
        <f>Tabla2[[#This Row],[Cantidad]]*Tabla2[[#This Row],[Precio_Unitario]]</f>
        <v>200</v>
      </c>
    </row>
    <row r="71" spans="1:8" x14ac:dyDescent="0.3">
      <c r="A71" s="1">
        <v>45320</v>
      </c>
      <c r="B71" t="s">
        <v>22</v>
      </c>
      <c r="C71" t="s">
        <v>18</v>
      </c>
      <c r="D71" t="s">
        <v>10</v>
      </c>
      <c r="F71">
        <v>2</v>
      </c>
      <c r="G71">
        <v>200</v>
      </c>
      <c r="H71">
        <f>Tabla2[[#This Row],[Cantidad]]*Tabla2[[#This Row],[Precio_Unitario]]</f>
        <v>400</v>
      </c>
    </row>
    <row r="72" spans="1:8" x14ac:dyDescent="0.3">
      <c r="A72" s="1">
        <v>45321</v>
      </c>
      <c r="B72" t="s">
        <v>11</v>
      </c>
      <c r="C72" t="s">
        <v>21</v>
      </c>
      <c r="D72" t="s">
        <v>9</v>
      </c>
      <c r="E72" t="s">
        <v>19</v>
      </c>
      <c r="F72">
        <v>4</v>
      </c>
      <c r="G72">
        <v>40</v>
      </c>
      <c r="H72">
        <f>Tabla2[[#This Row],[Cantidad]]*Tabla2[[#This Row],[Precio_Unitario]]</f>
        <v>160</v>
      </c>
    </row>
    <row r="73" spans="1:8" x14ac:dyDescent="0.3">
      <c r="A73" s="1">
        <v>45322</v>
      </c>
      <c r="B73" t="s">
        <v>14</v>
      </c>
      <c r="C73" t="s">
        <v>23</v>
      </c>
      <c r="D73" t="s">
        <v>30</v>
      </c>
      <c r="E73" t="s">
        <v>13</v>
      </c>
      <c r="F73">
        <v>3</v>
      </c>
      <c r="G73">
        <v>80</v>
      </c>
      <c r="H73">
        <f>Tabla2[[#This Row],[Cantidad]]*Tabla2[[#This Row],[Precio_Unitario]]</f>
        <v>240</v>
      </c>
    </row>
    <row r="74" spans="1:8" x14ac:dyDescent="0.3">
      <c r="A74" s="1">
        <v>45323</v>
      </c>
      <c r="C74" t="s">
        <v>24</v>
      </c>
      <c r="D74" t="s">
        <v>8</v>
      </c>
      <c r="E74" t="s">
        <v>16</v>
      </c>
      <c r="F74">
        <v>2</v>
      </c>
      <c r="G74">
        <v>600</v>
      </c>
      <c r="H74">
        <f>Tabla2[[#This Row],[Cantidad]]*Tabla2[[#This Row],[Precio_Unitario]]</f>
        <v>1200</v>
      </c>
    </row>
    <row r="75" spans="1:8" x14ac:dyDescent="0.3">
      <c r="A75" s="1">
        <v>45324</v>
      </c>
      <c r="B75" t="s">
        <v>20</v>
      </c>
      <c r="C75" t="s">
        <v>12</v>
      </c>
      <c r="E75" t="s">
        <v>19</v>
      </c>
      <c r="F75">
        <v>1</v>
      </c>
      <c r="G75">
        <v>1200</v>
      </c>
      <c r="H75">
        <f>Tabla2[[#This Row],[Cantidad]]*Tabla2[[#This Row],[Precio_Unitario]]</f>
        <v>1200</v>
      </c>
    </row>
    <row r="76" spans="1:8" x14ac:dyDescent="0.3">
      <c r="A76" s="1">
        <v>45325</v>
      </c>
      <c r="B76" t="s">
        <v>22</v>
      </c>
      <c r="C76" t="s">
        <v>15</v>
      </c>
      <c r="D76" t="s">
        <v>9</v>
      </c>
      <c r="E76" t="s">
        <v>13</v>
      </c>
      <c r="F76">
        <v>6</v>
      </c>
      <c r="G76">
        <v>25</v>
      </c>
      <c r="H76">
        <f>Tabla2[[#This Row],[Cantidad]]*Tabla2[[#This Row],[Precio_Unitario]]</f>
        <v>150</v>
      </c>
    </row>
    <row r="77" spans="1:8" x14ac:dyDescent="0.3">
      <c r="A77" s="1">
        <v>45326</v>
      </c>
      <c r="B77" t="s">
        <v>11</v>
      </c>
      <c r="C77" t="s">
        <v>33</v>
      </c>
      <c r="D77" t="s">
        <v>10</v>
      </c>
      <c r="E77" t="s">
        <v>35</v>
      </c>
      <c r="F77">
        <v>2</v>
      </c>
      <c r="G77">
        <v>200</v>
      </c>
      <c r="H77">
        <f>Tabla2[[#This Row],[Cantidad]]*Tabla2[[#This Row],[Precio_Unitario]]</f>
        <v>400</v>
      </c>
    </row>
    <row r="78" spans="1:8" x14ac:dyDescent="0.3">
      <c r="A78" s="1">
        <v>45327</v>
      </c>
      <c r="B78" t="s">
        <v>14</v>
      </c>
      <c r="D78" t="s">
        <v>9</v>
      </c>
      <c r="E78" t="s">
        <v>13</v>
      </c>
      <c r="F78">
        <v>4</v>
      </c>
      <c r="G78">
        <v>40</v>
      </c>
      <c r="H78">
        <f>Tabla2[[#This Row],[Cantidad]]*Tabla2[[#This Row],[Precio_Unitario]]</f>
        <v>160</v>
      </c>
    </row>
    <row r="79" spans="1:8" x14ac:dyDescent="0.3">
      <c r="A79" s="1">
        <v>45328</v>
      </c>
      <c r="C79" t="s">
        <v>23</v>
      </c>
      <c r="D79" t="s">
        <v>10</v>
      </c>
      <c r="E79" t="s">
        <v>19</v>
      </c>
      <c r="F79">
        <v>3</v>
      </c>
      <c r="G79">
        <v>80</v>
      </c>
      <c r="H79">
        <f>Tabla2[[#This Row],[Cantidad]]*Tabla2[[#This Row],[Precio_Unitario]]</f>
        <v>240</v>
      </c>
    </row>
    <row r="80" spans="1:8" x14ac:dyDescent="0.3">
      <c r="A80" s="1">
        <v>45329</v>
      </c>
      <c r="B80" t="s">
        <v>20</v>
      </c>
      <c r="C80" t="s">
        <v>24</v>
      </c>
      <c r="D80" t="s">
        <v>8</v>
      </c>
      <c r="E80" t="s">
        <v>16</v>
      </c>
      <c r="F80">
        <v>2</v>
      </c>
      <c r="G80">
        <v>600</v>
      </c>
      <c r="H80">
        <f>Tabla2[[#This Row],[Cantidad]]*Tabla2[[#This Row],[Precio_Unitario]]</f>
        <v>1200</v>
      </c>
    </row>
    <row r="81" spans="1:8" x14ac:dyDescent="0.3">
      <c r="A81" s="1">
        <v>45330</v>
      </c>
      <c r="B81" t="s">
        <v>22</v>
      </c>
      <c r="C81" t="s">
        <v>12</v>
      </c>
      <c r="D81" t="s">
        <v>8</v>
      </c>
      <c r="E81" t="s">
        <v>13</v>
      </c>
      <c r="F81">
        <v>1</v>
      </c>
      <c r="G81">
        <v>1200</v>
      </c>
      <c r="H81">
        <f>Tabla2[[#This Row],[Cantidad]]*Tabla2[[#This Row],[Precio_Unitario]]</f>
        <v>1200</v>
      </c>
    </row>
    <row r="82" spans="1:8" x14ac:dyDescent="0.3">
      <c r="A82" s="1">
        <v>45331</v>
      </c>
      <c r="B82" t="s">
        <v>11</v>
      </c>
      <c r="C82" t="s">
        <v>15</v>
      </c>
      <c r="D82" t="s">
        <v>9</v>
      </c>
      <c r="E82" t="s">
        <v>19</v>
      </c>
      <c r="F82">
        <v>5</v>
      </c>
      <c r="G82">
        <v>25</v>
      </c>
      <c r="H82">
        <f>Tabla2[[#This Row],[Cantidad]]*Tabla2[[#This Row],[Precio_Unitario]]</f>
        <v>125</v>
      </c>
    </row>
    <row r="83" spans="1:8" x14ac:dyDescent="0.3">
      <c r="A83" s="1">
        <v>45332</v>
      </c>
      <c r="B83" t="s">
        <v>14</v>
      </c>
      <c r="C83" t="s">
        <v>18</v>
      </c>
      <c r="D83" t="s">
        <v>10</v>
      </c>
      <c r="G83">
        <v>200</v>
      </c>
      <c r="H83">
        <f>Tabla2[[#This Row],[Cantidad]]*Tabla2[[#This Row],[Precio_Unitario]]</f>
        <v>0</v>
      </c>
    </row>
    <row r="84" spans="1:8" x14ac:dyDescent="0.3">
      <c r="A84" s="1"/>
      <c r="B84" t="s">
        <v>17</v>
      </c>
      <c r="C84" t="s">
        <v>21</v>
      </c>
      <c r="D84" t="s">
        <v>9</v>
      </c>
      <c r="E84" t="s">
        <v>13</v>
      </c>
      <c r="F84">
        <v>4</v>
      </c>
      <c r="G84">
        <v>40</v>
      </c>
      <c r="H84">
        <f>Tabla2[[#This Row],[Cantidad]]*Tabla2[[#This Row],[Precio_Unitario]]</f>
        <v>160</v>
      </c>
    </row>
    <row r="85" spans="1:8" x14ac:dyDescent="0.3">
      <c r="A85" s="1">
        <v>45334</v>
      </c>
      <c r="B85" t="s">
        <v>20</v>
      </c>
      <c r="C85" t="s">
        <v>23</v>
      </c>
      <c r="D85" t="s">
        <v>10</v>
      </c>
      <c r="E85" t="s">
        <v>16</v>
      </c>
      <c r="F85">
        <v>2</v>
      </c>
      <c r="G85">
        <v>80</v>
      </c>
      <c r="H85">
        <f>Tabla2[[#This Row],[Cantidad]]*Tabla2[[#This Row],[Precio_Unitario]]</f>
        <v>160</v>
      </c>
    </row>
    <row r="86" spans="1:8" x14ac:dyDescent="0.3">
      <c r="A86" s="1">
        <v>45335</v>
      </c>
      <c r="B86" t="s">
        <v>22</v>
      </c>
      <c r="C86" t="s">
        <v>24</v>
      </c>
      <c r="D86" t="s">
        <v>8</v>
      </c>
      <c r="E86" t="s">
        <v>13</v>
      </c>
      <c r="F86">
        <v>3</v>
      </c>
      <c r="G86">
        <v>600</v>
      </c>
      <c r="H86">
        <f>Tabla2[[#This Row],[Cantidad]]*Tabla2[[#This Row],[Precio_Unitario]]</f>
        <v>1800</v>
      </c>
    </row>
    <row r="87" spans="1:8" x14ac:dyDescent="0.3">
      <c r="A87" s="1">
        <v>45336</v>
      </c>
      <c r="B87" t="s">
        <v>11</v>
      </c>
      <c r="C87" t="s">
        <v>12</v>
      </c>
      <c r="D87" t="s">
        <v>8</v>
      </c>
      <c r="E87" t="s">
        <v>16</v>
      </c>
      <c r="F87">
        <v>2</v>
      </c>
      <c r="G87">
        <v>1200</v>
      </c>
      <c r="H87">
        <f>Tabla2[[#This Row],[Cantidad]]*Tabla2[[#This Row],[Precio_Unitario]]</f>
        <v>2400</v>
      </c>
    </row>
    <row r="88" spans="1:8" x14ac:dyDescent="0.3">
      <c r="A88" s="1">
        <v>45337</v>
      </c>
      <c r="B88" t="s">
        <v>14</v>
      </c>
      <c r="C88" t="s">
        <v>15</v>
      </c>
      <c r="E88" t="s">
        <v>13</v>
      </c>
      <c r="F88">
        <v>7</v>
      </c>
      <c r="G88">
        <v>25</v>
      </c>
      <c r="H88">
        <f>Tabla2[[#This Row],[Cantidad]]*Tabla2[[#This Row],[Precio_Unitario]]</f>
        <v>175</v>
      </c>
    </row>
    <row r="89" spans="1:8" x14ac:dyDescent="0.3">
      <c r="A89" s="1">
        <v>45338</v>
      </c>
      <c r="B89" t="s">
        <v>17</v>
      </c>
      <c r="C89" t="s">
        <v>18</v>
      </c>
      <c r="D89" t="s">
        <v>10</v>
      </c>
      <c r="E89" t="s">
        <v>19</v>
      </c>
      <c r="F89">
        <v>2</v>
      </c>
      <c r="G89">
        <v>200</v>
      </c>
      <c r="H89">
        <f>Tabla2[[#This Row],[Cantidad]]*Tabla2[[#This Row],[Precio_Unitario]]</f>
        <v>400</v>
      </c>
    </row>
    <row r="90" spans="1:8" x14ac:dyDescent="0.3">
      <c r="A90" s="1">
        <v>45339</v>
      </c>
      <c r="B90" t="s">
        <v>20</v>
      </c>
      <c r="C90" t="s">
        <v>21</v>
      </c>
      <c r="D90" t="s">
        <v>9</v>
      </c>
      <c r="E90" t="s">
        <v>16</v>
      </c>
      <c r="F90">
        <v>5</v>
      </c>
      <c r="G90">
        <v>40</v>
      </c>
      <c r="H90">
        <f>Tabla2[[#This Row],[Cantidad]]*Tabla2[[#This Row],[Precio_Unitario]]</f>
        <v>200</v>
      </c>
    </row>
    <row r="91" spans="1:8" x14ac:dyDescent="0.3">
      <c r="A91" s="1">
        <v>45340</v>
      </c>
      <c r="B91" t="s">
        <v>22</v>
      </c>
      <c r="C91" t="s">
        <v>23</v>
      </c>
      <c r="D91" t="s">
        <v>34</v>
      </c>
      <c r="E91" t="s">
        <v>13</v>
      </c>
      <c r="F91">
        <v>3</v>
      </c>
      <c r="G91">
        <v>80</v>
      </c>
      <c r="H91">
        <f>Tabla2[[#This Row],[Cantidad]]*Tabla2[[#This Row],[Precio_Unitario]]</f>
        <v>240</v>
      </c>
    </row>
    <row r="92" spans="1:8" x14ac:dyDescent="0.3">
      <c r="A92" s="1">
        <v>45341</v>
      </c>
      <c r="B92" t="s">
        <v>11</v>
      </c>
      <c r="C92" t="s">
        <v>24</v>
      </c>
      <c r="D92" t="s">
        <v>8</v>
      </c>
      <c r="E92" t="s">
        <v>19</v>
      </c>
      <c r="F92">
        <v>2</v>
      </c>
      <c r="G92">
        <v>600</v>
      </c>
      <c r="H92">
        <f>Tabla2[[#This Row],[Cantidad]]*Tabla2[[#This Row],[Precio_Unitario]]</f>
        <v>1200</v>
      </c>
    </row>
    <row r="93" spans="1:8" x14ac:dyDescent="0.3">
      <c r="A93" s="1">
        <v>45342</v>
      </c>
      <c r="B93" t="s">
        <v>14</v>
      </c>
      <c r="C93" t="s">
        <v>12</v>
      </c>
      <c r="D93" t="s">
        <v>8</v>
      </c>
      <c r="E93" t="s">
        <v>13</v>
      </c>
      <c r="G93">
        <v>1200</v>
      </c>
      <c r="H93">
        <f>Tabla2[[#This Row],[Cantidad]]*Tabla2[[#This Row],[Precio_Unitario]]</f>
        <v>0</v>
      </c>
    </row>
    <row r="94" spans="1:8" x14ac:dyDescent="0.3">
      <c r="A94" s="1">
        <v>45343</v>
      </c>
      <c r="B94" t="s">
        <v>17</v>
      </c>
      <c r="C94" t="s">
        <v>15</v>
      </c>
      <c r="D94" t="s">
        <v>9</v>
      </c>
      <c r="E94" t="s">
        <v>16</v>
      </c>
      <c r="F94">
        <v>6</v>
      </c>
      <c r="G94">
        <v>25</v>
      </c>
      <c r="H94">
        <f>Tabla2[[#This Row],[Cantidad]]*Tabla2[[#This Row],[Precio_Unitario]]</f>
        <v>150</v>
      </c>
    </row>
    <row r="95" spans="1:8" x14ac:dyDescent="0.3">
      <c r="A95" s="1">
        <v>45344</v>
      </c>
      <c r="B95" t="s">
        <v>20</v>
      </c>
      <c r="C95" t="s">
        <v>18</v>
      </c>
      <c r="D95" t="s">
        <v>10</v>
      </c>
      <c r="E95" t="s">
        <v>13</v>
      </c>
      <c r="F95">
        <v>2</v>
      </c>
      <c r="G95">
        <v>200</v>
      </c>
      <c r="H95">
        <f>Tabla2[[#This Row],[Cantidad]]*Tabla2[[#This Row],[Precio_Unitario]]</f>
        <v>400</v>
      </c>
    </row>
    <row r="96" spans="1:8" x14ac:dyDescent="0.3">
      <c r="A96" s="1">
        <v>45345</v>
      </c>
      <c r="B96" t="s">
        <v>22</v>
      </c>
      <c r="C96" t="s">
        <v>21</v>
      </c>
      <c r="D96" t="s">
        <v>9</v>
      </c>
      <c r="E96" t="s">
        <v>19</v>
      </c>
      <c r="F96">
        <v>4</v>
      </c>
      <c r="G96">
        <v>40</v>
      </c>
      <c r="H96">
        <f>Tabla2[[#This Row],[Cantidad]]*Tabla2[[#This Row],[Precio_Unitario]]</f>
        <v>160</v>
      </c>
    </row>
    <row r="97" spans="1:8" x14ac:dyDescent="0.3">
      <c r="A97" s="1">
        <v>45346</v>
      </c>
      <c r="B97" t="s">
        <v>11</v>
      </c>
      <c r="C97" t="s">
        <v>36</v>
      </c>
      <c r="D97" t="s">
        <v>10</v>
      </c>
      <c r="E97" t="s">
        <v>16</v>
      </c>
      <c r="F97">
        <v>3</v>
      </c>
      <c r="G97">
        <v>80</v>
      </c>
      <c r="H97">
        <f>Tabla2[[#This Row],[Cantidad]]*Tabla2[[#This Row],[Precio_Unitario]]</f>
        <v>240</v>
      </c>
    </row>
    <row r="98" spans="1:8" x14ac:dyDescent="0.3">
      <c r="A98" s="1">
        <v>45347</v>
      </c>
      <c r="B98" t="s">
        <v>14</v>
      </c>
      <c r="C98" t="s">
        <v>24</v>
      </c>
      <c r="D98" t="s">
        <v>8</v>
      </c>
      <c r="E98" t="s">
        <v>13</v>
      </c>
      <c r="F98">
        <v>2</v>
      </c>
      <c r="G98">
        <v>600</v>
      </c>
      <c r="H98">
        <f>Tabla2[[#This Row],[Cantidad]]*Tabla2[[#This Row],[Precio_Unitario]]</f>
        <v>1200</v>
      </c>
    </row>
    <row r="99" spans="1:8" x14ac:dyDescent="0.3">
      <c r="A99" s="1">
        <v>45348</v>
      </c>
      <c r="B99" t="s">
        <v>17</v>
      </c>
      <c r="C99" t="s">
        <v>12</v>
      </c>
      <c r="D99" t="s">
        <v>8</v>
      </c>
      <c r="E99" t="s">
        <v>19</v>
      </c>
      <c r="G99">
        <v>1200</v>
      </c>
      <c r="H99">
        <f>Tabla2[[#This Row],[Cantidad]]*Tabla2[[#This Row],[Precio_Unitario]]</f>
        <v>0</v>
      </c>
    </row>
    <row r="100" spans="1:8" x14ac:dyDescent="0.3">
      <c r="A100" s="1">
        <v>45349</v>
      </c>
      <c r="B100" t="s">
        <v>20</v>
      </c>
      <c r="C100" t="s">
        <v>15</v>
      </c>
      <c r="D100" t="s">
        <v>9</v>
      </c>
      <c r="E100" t="s">
        <v>16</v>
      </c>
      <c r="F100">
        <v>5</v>
      </c>
      <c r="G100">
        <v>25</v>
      </c>
      <c r="H100">
        <f>Tabla2[[#This Row],[Cantidad]]*Tabla2[[#This Row],[Precio_Unitario]]</f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Arley jesus Vera portillo</dc:creator>
  <cp:lastModifiedBy>Arley jesus Vera portillo</cp:lastModifiedBy>
  <dcterms:created xsi:type="dcterms:W3CDTF">2026-03-13T18:56:20Z</dcterms:created>
  <dcterms:modified xsi:type="dcterms:W3CDTF">2026-03-13T19:37:28Z</dcterms:modified>
</cp:coreProperties>
</file>